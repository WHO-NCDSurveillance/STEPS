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autoCompressPictures="0"/>
  <mc:AlternateContent xmlns:mc="http://schemas.openxmlformats.org/markup-compatibility/2006">
    <mc:Choice Requires="x15">
      <x15ac:absPath xmlns:x15ac="http://schemas.microsoft.com/office/spreadsheetml/2010/11/ac" url="C:\DATA\R\GitHub current\data_input\"/>
    </mc:Choice>
  </mc:AlternateContent>
  <xr:revisionPtr revIDLastSave="0" documentId="13_ncr:1_{C501F235-C0EA-4441-BBB8-54124FCEF9BA}" xr6:coauthVersionLast="47" xr6:coauthVersionMax="47" xr10:uidLastSave="{00000000-0000-0000-0000-000000000000}"/>
  <bookViews>
    <workbookView xWindow="-120" yWindow="-120" windowWidth="29040" windowHeight="15720" tabRatio="500" xr2:uid="{00000000-000D-0000-FFFF-FFFF00000000}"/>
  </bookViews>
  <sheets>
    <sheet name="survey" sheetId="1" r:id="rId1"/>
    <sheet name="choices" sheetId="2" r:id="rId2"/>
    <sheet name="settings" sheetId="3" r:id="rId3"/>
  </sheets>
  <definedNames>
    <definedName name="_xlnm._FilterDatabase" localSheetId="0" hidden="1">survey!$A$1:$R$363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2" i="2" l="1"/>
  <c r="C182" i="2" s="1"/>
  <c r="L143" i="1"/>
  <c r="B183" i="2" l="1"/>
  <c r="C183" i="2" s="1"/>
  <c r="A182" i="2"/>
  <c r="B184" i="2" l="1"/>
  <c r="C184" i="2" s="1"/>
  <c r="A183" i="2"/>
  <c r="A184" i="2" l="1"/>
  <c r="B185" i="2"/>
  <c r="C185" i="2" s="1"/>
  <c r="B186" i="2" l="1"/>
  <c r="C186" i="2" s="1"/>
  <c r="A185" i="2"/>
  <c r="B187" i="2" l="1"/>
  <c r="C187" i="2" s="1"/>
  <c r="A186" i="2"/>
  <c r="A187" i="2" l="1"/>
  <c r="B188" i="2"/>
  <c r="C188" i="2" s="1"/>
  <c r="B189" i="2" l="1"/>
  <c r="C189" i="2" s="1"/>
  <c r="A188" i="2"/>
  <c r="B190" i="2" l="1"/>
  <c r="C190" i="2" s="1"/>
  <c r="A189" i="2"/>
  <c r="A190" i="2" l="1"/>
  <c r="B191" i="2"/>
  <c r="C191" i="2" s="1"/>
  <c r="A191" i="2" l="1"/>
  <c r="B192" i="2"/>
  <c r="C192" i="2" s="1"/>
  <c r="A192" i="2" l="1"/>
  <c r="B193" i="2"/>
  <c r="C193" i="2" s="1"/>
  <c r="A193" i="2" l="1"/>
  <c r="B194" i="2"/>
  <c r="C194" i="2" s="1"/>
  <c r="B195" i="2" l="1"/>
  <c r="C195" i="2" s="1"/>
  <c r="A194" i="2"/>
  <c r="B196" i="2" l="1"/>
  <c r="C196" i="2" s="1"/>
  <c r="A195" i="2"/>
  <c r="A196" i="2" l="1"/>
  <c r="B197" i="2"/>
  <c r="C197" i="2" s="1"/>
  <c r="A197" i="2" l="1"/>
  <c r="B198" i="2"/>
  <c r="C198" i="2" s="1"/>
  <c r="A198" i="2" l="1"/>
  <c r="B199" i="2"/>
  <c r="C199" i="2" s="1"/>
  <c r="A199" i="2" l="1"/>
  <c r="B200" i="2"/>
  <c r="C200" i="2" s="1"/>
  <c r="B201" i="2" l="1"/>
  <c r="C201" i="2" s="1"/>
  <c r="A200" i="2"/>
  <c r="A201" i="2" l="1"/>
  <c r="B202" i="2"/>
  <c r="B203" i="2" l="1"/>
  <c r="C203" i="2" s="1"/>
  <c r="C202" i="2"/>
  <c r="A202" i="2"/>
  <c r="A203" i="2" l="1"/>
  <c r="B204" i="2"/>
  <c r="C204" i="2" s="1"/>
  <c r="B205" i="2" l="1"/>
  <c r="C205" i="2" s="1"/>
  <c r="A204" i="2"/>
  <c r="B206" i="2" l="1"/>
  <c r="C206" i="2" s="1"/>
  <c r="A205" i="2"/>
  <c r="A206" i="2" l="1"/>
  <c r="B207" i="2"/>
  <c r="C207" i="2" s="1"/>
  <c r="B208" i="2" l="1"/>
  <c r="C208" i="2" s="1"/>
  <c r="A207" i="2"/>
  <c r="A208" i="2" l="1"/>
  <c r="B209" i="2"/>
  <c r="C209" i="2" s="1"/>
  <c r="B210" i="2" l="1"/>
  <c r="C210" i="2" s="1"/>
  <c r="A209" i="2"/>
  <c r="B211" i="2" l="1"/>
  <c r="C211" i="2" s="1"/>
  <c r="A210" i="2"/>
  <c r="B212" i="2" l="1"/>
  <c r="C212" i="2" s="1"/>
  <c r="A211" i="2"/>
  <c r="B213" i="2" l="1"/>
  <c r="C213" i="2" s="1"/>
  <c r="A212" i="2"/>
  <c r="B214" i="2" l="1"/>
  <c r="C214" i="2" s="1"/>
  <c r="A213" i="2"/>
  <c r="A214" i="2" l="1"/>
  <c r="B215" i="2"/>
  <c r="C215" i="2" s="1"/>
  <c r="B216" i="2" l="1"/>
  <c r="C216" i="2" s="1"/>
  <c r="A215" i="2"/>
  <c r="A216" i="2" l="1"/>
  <c r="B217" i="2"/>
  <c r="C217" i="2" s="1"/>
  <c r="A217" i="2" l="1"/>
  <c r="B218" i="2"/>
  <c r="C218" i="2" s="1"/>
  <c r="A218" i="2" l="1"/>
  <c r="B219" i="2"/>
  <c r="C219" i="2" s="1"/>
  <c r="B220" i="2" l="1"/>
  <c r="C220" i="2" s="1"/>
  <c r="A219" i="2"/>
  <c r="A220" i="2" l="1"/>
  <c r="B221" i="2"/>
  <c r="C221" i="2" s="1"/>
  <c r="A221" i="2" l="1"/>
  <c r="B222" i="2"/>
  <c r="C222" i="2" s="1"/>
  <c r="A222" i="2" l="1"/>
  <c r="B223" i="2"/>
  <c r="C223" i="2" s="1"/>
  <c r="B224" i="2" l="1"/>
  <c r="C224" i="2" s="1"/>
  <c r="A223" i="2"/>
  <c r="A224" i="2" l="1"/>
  <c r="B225" i="2"/>
  <c r="C225" i="2" l="1"/>
  <c r="A225" i="2"/>
  <c r="B226" i="2"/>
  <c r="C226" i="2" l="1"/>
  <c r="A226" i="2"/>
  <c r="B227" i="2"/>
  <c r="C227" i="2" l="1"/>
  <c r="A227" i="2"/>
  <c r="B228" i="2"/>
  <c r="B229" i="2" s="1"/>
  <c r="C229" i="2" s="1"/>
  <c r="A229" i="2" l="1"/>
  <c r="B230" i="2"/>
  <c r="C230" i="2" s="1"/>
  <c r="C228" i="2"/>
  <c r="A228" i="2"/>
  <c r="B231" i="2" l="1"/>
  <c r="C231" i="2" s="1"/>
  <c r="A230" i="2"/>
  <c r="B232" i="2" l="1"/>
  <c r="C232" i="2" s="1"/>
  <c r="A231" i="2"/>
  <c r="B233" i="2" l="1"/>
  <c r="C233" i="2" s="1"/>
  <c r="A232" i="2"/>
  <c r="B234" i="2" l="1"/>
  <c r="C234" i="2" s="1"/>
  <c r="A233" i="2"/>
  <c r="B235" i="2" l="1"/>
  <c r="C235" i="2" s="1"/>
  <c r="A234" i="2"/>
  <c r="B236" i="2" l="1"/>
  <c r="C236" i="2" s="1"/>
  <c r="A235" i="2"/>
  <c r="B237" i="2" l="1"/>
  <c r="C237" i="2" s="1"/>
  <c r="A236" i="2"/>
  <c r="B238" i="2" l="1"/>
  <c r="C238" i="2" s="1"/>
  <c r="A237" i="2"/>
  <c r="B239" i="2" l="1"/>
  <c r="C239" i="2" s="1"/>
  <c r="A238" i="2"/>
  <c r="B240" i="2" l="1"/>
  <c r="C240" i="2" s="1"/>
  <c r="A239" i="2"/>
  <c r="B241" i="2" l="1"/>
  <c r="C241" i="2" s="1"/>
  <c r="A240" i="2"/>
  <c r="A241" i="2" l="1"/>
  <c r="B242" i="2"/>
  <c r="C242" i="2" s="1"/>
  <c r="B243" i="2" l="1"/>
  <c r="C243" i="2" s="1"/>
  <c r="A242" i="2"/>
  <c r="B244" i="2" l="1"/>
  <c r="C244" i="2" s="1"/>
  <c r="A243" i="2"/>
  <c r="B245" i="2" l="1"/>
  <c r="C245" i="2" s="1"/>
  <c r="A244" i="2"/>
  <c r="B246" i="2" l="1"/>
  <c r="C246" i="2" s="1"/>
  <c r="A245" i="2"/>
  <c r="B247" i="2" l="1"/>
  <c r="C247" i="2" s="1"/>
  <c r="A246" i="2"/>
  <c r="B248" i="2" l="1"/>
  <c r="C248" i="2" s="1"/>
  <c r="A247" i="2"/>
  <c r="A248" i="2" l="1"/>
  <c r="B249" i="2"/>
  <c r="C249" i="2" s="1"/>
  <c r="B250" i="2" l="1"/>
  <c r="C250" i="2" s="1"/>
  <c r="A249" i="2"/>
  <c r="B251" i="2" l="1"/>
  <c r="C251" i="2" s="1"/>
  <c r="A250" i="2"/>
  <c r="B252" i="2" l="1"/>
  <c r="C252" i="2" s="1"/>
  <c r="A251" i="2"/>
  <c r="B253" i="2" l="1"/>
  <c r="C253" i="2" s="1"/>
  <c r="A252" i="2"/>
  <c r="B254" i="2" l="1"/>
  <c r="C254" i="2" s="1"/>
  <c r="A253" i="2"/>
  <c r="B255" i="2" l="1"/>
  <c r="C255" i="2" s="1"/>
  <c r="A254" i="2"/>
  <c r="B256" i="2" l="1"/>
  <c r="C256" i="2" s="1"/>
  <c r="A255" i="2"/>
  <c r="B257" i="2" l="1"/>
  <c r="C257" i="2" s="1"/>
  <c r="A256" i="2"/>
  <c r="B258" i="2" l="1"/>
  <c r="C258" i="2" s="1"/>
  <c r="A257" i="2"/>
  <c r="A258" i="2" l="1"/>
</calcChain>
</file>

<file path=xl/sharedStrings.xml><?xml version="1.0" encoding="utf-8"?>
<sst xmlns="http://schemas.openxmlformats.org/spreadsheetml/2006/main" count="2288" uniqueCount="1208">
  <si>
    <t>type</t>
  </si>
  <si>
    <t>name</t>
  </si>
  <si>
    <t>constraint</t>
  </si>
  <si>
    <t>required</t>
  </si>
  <si>
    <t>relevant</t>
  </si>
  <si>
    <t>calculation</t>
  </si>
  <si>
    <t>appearance</t>
  </si>
  <si>
    <t>today</t>
  </si>
  <si>
    <t>start</t>
  </si>
  <si>
    <t>end</t>
  </si>
  <si>
    <t>deviceid</t>
  </si>
  <si>
    <t>calculate</t>
  </si>
  <si>
    <t>begin group</t>
  </si>
  <si>
    <t>integer</t>
  </si>
  <si>
    <t>I1</t>
  </si>
  <si>
    <t>.&gt;0</t>
  </si>
  <si>
    <t>yes</t>
  </si>
  <si>
    <t>text</t>
  </si>
  <si>
    <t>I2</t>
  </si>
  <si>
    <t>I3</t>
  </si>
  <si>
    <t>I4</t>
  </si>
  <si>
    <t>end group</t>
  </si>
  <si>
    <t>consent_language_name</t>
  </si>
  <si>
    <t>Consent, Interview Language and Name</t>
  </si>
  <si>
    <t>I5</t>
  </si>
  <si>
    <t>select_one lang</t>
  </si>
  <si>
    <t>I6</t>
  </si>
  <si>
    <t>${I5} = '1'</t>
  </si>
  <si>
    <t>time</t>
  </si>
  <si>
    <t>I7</t>
  </si>
  <si>
    <t>list name</t>
  </si>
  <si>
    <t>I8</t>
  </si>
  <si>
    <t>title</t>
  </si>
  <si>
    <t>form_id</t>
  </si>
  <si>
    <t>instance_name</t>
  </si>
  <si>
    <t>Yes</t>
  </si>
  <si>
    <t>No</t>
  </si>
  <si>
    <t>lang</t>
  </si>
  <si>
    <t>English</t>
  </si>
  <si>
    <t>Male</t>
  </si>
  <si>
    <t>Female</t>
  </si>
  <si>
    <t>edu</t>
  </si>
  <si>
    <t>No formal schooling</t>
  </si>
  <si>
    <t>Less than primary school</t>
  </si>
  <si>
    <t>Primary school completed</t>
  </si>
  <si>
    <t>Secondary school completed</t>
  </si>
  <si>
    <t>High school completed</t>
  </si>
  <si>
    <t>College/University completed</t>
  </si>
  <si>
    <t>Post graduate degree</t>
  </si>
  <si>
    <t>Refused</t>
  </si>
  <si>
    <t>ethnic</t>
  </si>
  <si>
    <t>marital</t>
  </si>
  <si>
    <t>Never married</t>
  </si>
  <si>
    <t>Currently married</t>
  </si>
  <si>
    <t>Separated</t>
  </si>
  <si>
    <t>Divorced</t>
  </si>
  <si>
    <t>Widowed</t>
  </si>
  <si>
    <t>Cohabitating</t>
  </si>
  <si>
    <t>I9</t>
  </si>
  <si>
    <t>work</t>
  </si>
  <si>
    <t>Government employee</t>
  </si>
  <si>
    <t>Non-government employee</t>
  </si>
  <si>
    <t>pid</t>
  </si>
  <si>
    <t>Self-employed</t>
  </si>
  <si>
    <t>Non-paid</t>
  </si>
  <si>
    <t>Student</t>
  </si>
  <si>
    <t>Homemaker</t>
  </si>
  <si>
    <t>Retired</t>
  </si>
  <si>
    <t>Unemployed (able to work)</t>
  </si>
  <si>
    <t>Unemployed (unable to work)</t>
  </si>
  <si>
    <t>I10</t>
  </si>
  <si>
    <t>C1</t>
  </si>
  <si>
    <t>Observe only, do not ask.</t>
  </si>
  <si>
    <t>field-list</t>
  </si>
  <si>
    <t>Don't know</t>
  </si>
  <si>
    <t>week</t>
  </si>
  <si>
    <t>Week</t>
  </si>
  <si>
    <t>month</t>
  </si>
  <si>
    <t>Month</t>
  </si>
  <si>
    <t>year</t>
  </si>
  <si>
    <t>Year</t>
  </si>
  <si>
    <t>C3</t>
  </si>
  <si>
    <t>note</t>
  </si>
  <si>
    <t>C4</t>
  </si>
  <si>
    <t>select_one edu</t>
  </si>
  <si>
    <t>C5</t>
  </si>
  <si>
    <t>select_one ethnic</t>
  </si>
  <si>
    <t>quin</t>
  </si>
  <si>
    <t>C6</t>
  </si>
  <si>
    <t>≤ Quintile (Q) 1</t>
  </si>
  <si>
    <t>More than Q 1, ≤ Q 2</t>
  </si>
  <si>
    <t>select_one marital</t>
  </si>
  <si>
    <t>More than Q 2, ≤ Q 3</t>
  </si>
  <si>
    <t>C7</t>
  </si>
  <si>
    <t>More than Q 3, ≤ Q 4</t>
  </si>
  <si>
    <t>More than Q 4</t>
  </si>
  <si>
    <t>select_one work</t>
  </si>
  <si>
    <t>C8</t>
  </si>
  <si>
    <t>Don't Know</t>
  </si>
  <si>
    <t>time2</t>
  </si>
  <si>
    <t>years</t>
  </si>
  <si>
    <t>Years</t>
  </si>
  <si>
    <t>C9</t>
  </si>
  <si>
    <t>months</t>
  </si>
  <si>
    <t>Months</t>
  </si>
  <si>
    <t>weeks</t>
  </si>
  <si>
    <t>Weeks</t>
  </si>
  <si>
    <t>minimal</t>
  </si>
  <si>
    <t>dk</t>
  </si>
  <si>
    <t>quit</t>
  </si>
  <si>
    <t>No visit during the past 12 months</t>
  </si>
  <si>
    <t>Don't work in a closed area</t>
  </si>
  <si>
    <t>alc_freq</t>
  </si>
  <si>
    <t>Daily</t>
  </si>
  <si>
    <t>5-6 days per week</t>
  </si>
  <si>
    <t>3-4 days per week</t>
  </si>
  <si>
    <t>1-2 days per week</t>
  </si>
  <si>
    <t>1-3 days per month</t>
  </si>
  <si>
    <t>Less than once a month</t>
  </si>
  <si>
    <t>time3</t>
  </si>
  <si>
    <t>Daily or almost daily</t>
  </si>
  <si>
    <t>Weekly</t>
  </si>
  <si>
    <t>Monthly</t>
  </si>
  <si>
    <t>Less than monthly</t>
  </si>
  <si>
    <t>Never</t>
  </si>
  <si>
    <t>time4</t>
  </si>
  <si>
    <t>Yes, more than monthly</t>
  </si>
  <si>
    <t>Yes, monthly</t>
  </si>
  <si>
    <t>Yes, several times but less than monthly</t>
  </si>
  <si>
    <t xml:space="preserve">Yes, once or twice </t>
  </si>
  <si>
    <t>likert</t>
  </si>
  <si>
    <t>Always</t>
  </si>
  <si>
    <t>Often</t>
  </si>
  <si>
    <t>Sometimes</t>
  </si>
  <si>
    <t>Rarely</t>
  </si>
  <si>
    <t>likert2</t>
  </si>
  <si>
    <t>Far too much</t>
  </si>
  <si>
    <t>note1</t>
  </si>
  <si>
    <t>Too much</t>
  </si>
  <si>
    <t>Now I am going to ask you some questions about tobacco use.</t>
  </si>
  <si>
    <t>Just the right amount</t>
  </si>
  <si>
    <t>Too little</t>
  </si>
  <si>
    <t>T1</t>
  </si>
  <si>
    <t>Far too little</t>
  </si>
  <si>
    <t>T2</t>
  </si>
  <si>
    <t>${T1} = '1'</t>
  </si>
  <si>
    <t>T3</t>
  </si>
  <si>
    <t>imp</t>
  </si>
  <si>
    <t>Enter '77' if not known.</t>
  </si>
  <si>
    <t>Very important</t>
  </si>
  <si>
    <t>Somewhat important</t>
  </si>
  <si>
    <t>T4grp</t>
  </si>
  <si>
    <t>Not at all important</t>
  </si>
  <si>
    <t>${T1} = '1' and (${T3} = '77' or ${T3} = '')</t>
  </si>
  <si>
    <t>T4</t>
  </si>
  <si>
    <t>select_one time2</t>
  </si>
  <si>
    <t>T4type</t>
  </si>
  <si>
    <t>Please select whether answer is in years, months, or weeks, or whether respondent doesn't know.</t>
  </si>
  <si>
    <t>Other</t>
  </si>
  <si>
    <t>T5a</t>
  </si>
  <si>
    <t>${T2} = '1'</t>
  </si>
  <si>
    <t>T5aw</t>
  </si>
  <si>
    <t>${T2} = '2' or ${T5a} = '0'</t>
  </si>
  <si>
    <t>T5b</t>
  </si>
  <si>
    <t>T5bw</t>
  </si>
  <si>
    <t>${T2} = '2' or ${T5b} = '0'</t>
  </si>
  <si>
    <t>T5c</t>
  </si>
  <si>
    <t>T5cw</t>
  </si>
  <si>
    <t>${T2} = '2' or ${T5c} = '0'</t>
  </si>
  <si>
    <t>T5d</t>
  </si>
  <si>
    <t>T5dw</t>
  </si>
  <si>
    <t>${T2} = '2' or ${T5d} = '0'</t>
  </si>
  <si>
    <t>T5e</t>
  </si>
  <si>
    <t>T5ew</t>
  </si>
  <si>
    <t>${T2} = '2' or ${T5e} = '0'</t>
  </si>
  <si>
    <t>T5other</t>
  </si>
  <si>
    <t>T5f</t>
  </si>
  <si>
    <t>T5fw</t>
  </si>
  <si>
    <t>T6</t>
  </si>
  <si>
    <t>select_one quit</t>
  </si>
  <si>
    <t>T7</t>
  </si>
  <si>
    <t>T8</t>
  </si>
  <si>
    <t>${T1} = '2'</t>
  </si>
  <si>
    <t>T9</t>
  </si>
  <si>
    <t>${T2} = '2' or ${T8} = '1'</t>
  </si>
  <si>
    <t>T10</t>
  </si>
  <si>
    <t>T11grp</t>
  </si>
  <si>
    <t>${T1} = '2' and ${T8} = '1' and ${T10} = '77'</t>
  </si>
  <si>
    <t>T11</t>
  </si>
  <si>
    <t>T11type</t>
  </si>
  <si>
    <t>T12</t>
  </si>
  <si>
    <t>T13</t>
  </si>
  <si>
    <t>${T12} = '1'</t>
  </si>
  <si>
    <t>T14a</t>
  </si>
  <si>
    <t>${T13} = '1'</t>
  </si>
  <si>
    <t>T14aw</t>
  </si>
  <si>
    <t>${T13} = '2' or ${T14a} = '0'</t>
  </si>
  <si>
    <t>T14b</t>
  </si>
  <si>
    <t>T14bw</t>
  </si>
  <si>
    <t>${T13} = '2' or ${T14b} = '0'</t>
  </si>
  <si>
    <t>T14c</t>
  </si>
  <si>
    <t>T14cw</t>
  </si>
  <si>
    <t>${T13} = '2' or ${T14c} = '0'</t>
  </si>
  <si>
    <t>T14d</t>
  </si>
  <si>
    <t>T14dw</t>
  </si>
  <si>
    <t>${T13} = '2' or ${T14d} = '0'</t>
  </si>
  <si>
    <t>T14other</t>
  </si>
  <si>
    <t>T14e</t>
  </si>
  <si>
    <t>T14ew</t>
  </si>
  <si>
    <t>T15</t>
  </si>
  <si>
    <t>${T12} = '2'</t>
  </si>
  <si>
    <t>T16</t>
  </si>
  <si>
    <t>${T13} = '2' or ${T15} = '1'</t>
  </si>
  <si>
    <t>T17</t>
  </si>
  <si>
    <t>T18</t>
  </si>
  <si>
    <t>note2</t>
  </si>
  <si>
    <t>The next questions ask about the consumption of alcohol.</t>
  </si>
  <si>
    <t>A1</t>
  </si>
  <si>
    <t>A2</t>
  </si>
  <si>
    <t>${A1} = '1'</t>
  </si>
  <si>
    <t>A3</t>
  </si>
  <si>
    <t>${A2} = '2'</t>
  </si>
  <si>
    <t>select_one alc_freq</t>
  </si>
  <si>
    <t>A4</t>
  </si>
  <si>
    <t>${A2} = '1'</t>
  </si>
  <si>
    <t>A5</t>
  </si>
  <si>
    <t>A6</t>
  </si>
  <si>
    <t>${A5} = '1'</t>
  </si>
  <si>
    <t>A7</t>
  </si>
  <si>
    <t>A8</t>
  </si>
  <si>
    <t>A9</t>
  </si>
  <si>
    <t>A10a</t>
  </si>
  <si>
    <t>A10b</t>
  </si>
  <si>
    <t>A10c</t>
  </si>
  <si>
    <t>A10d</t>
  </si>
  <si>
    <t>A10e</t>
  </si>
  <si>
    <t>A10f</t>
  </si>
  <si>
    <t>A10g</t>
  </si>
  <si>
    <t>note3</t>
  </si>
  <si>
    <t>I have just asked you about your consumption of alcohol during the past 7 days. The questions were about alcohol in general, while the next questions refer to your consumption of homebrewed alcohol, alcohol brought over the border/from another country, any alcohol not intended for drinking or other untaxed alcohol. Please only think about these types of alcohol when answering the next questions.</t>
  </si>
  <si>
    <t>A11</t>
  </si>
  <si>
    <t>A12a</t>
  </si>
  <si>
    <t>A12b</t>
  </si>
  <si>
    <t>A12c</t>
  </si>
  <si>
    <t>A12d</t>
  </si>
  <si>
    <t>A12e</t>
  </si>
  <si>
    <t>select_one time3</t>
  </si>
  <si>
    <t>A13</t>
  </si>
  <si>
    <t>A14</t>
  </si>
  <si>
    <t>A15</t>
  </si>
  <si>
    <t>select_one time4</t>
  </si>
  <si>
    <t>A16</t>
  </si>
  <si>
    <t>note4</t>
  </si>
  <si>
    <t>The next questions ask about the fruits and vegetables that you usually eat. I have a nutrition card here that shows you some examples of local fruits and vegetables. Each picture represents the size of a serving. As you answer these questions please think of a typical week in the last year.</t>
  </si>
  <si>
    <t>D1</t>
  </si>
  <si>
    <t>D2</t>
  </si>
  <si>
    <t>D3</t>
  </si>
  <si>
    <t>D4</t>
  </si>
  <si>
    <t>dietary_salt</t>
  </si>
  <si>
    <t>Dietary Salt</t>
  </si>
  <si>
    <t>note5</t>
  </si>
  <si>
    <t>select_one likert</t>
  </si>
  <si>
    <t>D5</t>
  </si>
  <si>
    <t>D6</t>
  </si>
  <si>
    <t>D7</t>
  </si>
  <si>
    <t>select_one likert2</t>
  </si>
  <si>
    <t>D8</t>
  </si>
  <si>
    <t>select_one imp</t>
  </si>
  <si>
    <t>D9</t>
  </si>
  <si>
    <t>D10</t>
  </si>
  <si>
    <t>D11a</t>
  </si>
  <si>
    <t>D11b</t>
  </si>
  <si>
    <t>D11c</t>
  </si>
  <si>
    <t>D11d</t>
  </si>
  <si>
    <t>D11e</t>
  </si>
  <si>
    <t>D11f</t>
  </si>
  <si>
    <t>D11other</t>
  </si>
  <si>
    <t>${D11f} = '1'</t>
  </si>
  <si>
    <t>Next I am going to ask you about the time you spend doing different types of physical activity in a typical week. Please answer these questions even if you do not consider yourself to be a physically active person. 
Think first about the time you spend doing work.  Think of work as the things that you have to do such as paid or unpaid work, study/training, household chores, harvesting food/crops, fishing or hunting for food, seeking employment. [Insert other examples if needed].  In answering the following questions 'vigorous-intensity activities' are activities that require hard physical effort and cause large increases in breathing or heart rate, 'moderate-intensity activities' are activities that require moderate physical effort and cause small increases in breathing or heart rate.</t>
  </si>
  <si>
    <t>P1</t>
  </si>
  <si>
    <t>P2</t>
  </si>
  <si>
    <t>${P1} = '1'</t>
  </si>
  <si>
    <t>P4</t>
  </si>
  <si>
    <t>P5</t>
  </si>
  <si>
    <t>${P4} = '1'</t>
  </si>
  <si>
    <t>note7</t>
  </si>
  <si>
    <t>The next questions exclude the physical activities at work that you have already mentioned.
Now I would like to ask you about the usual way you travel to and from places.  For example to work, for shopping, to market, to place of worship. [Insert other examples if needed]</t>
  </si>
  <si>
    <t>P7</t>
  </si>
  <si>
    <t>P8</t>
  </si>
  <si>
    <t>${P7} = '1'</t>
  </si>
  <si>
    <t>note8</t>
  </si>
  <si>
    <t>The next questions exclude the work and transport activities that you have already mentioned.
Now I would like to ask you about sports, fitness and recreational activities (leisure), [Insert relevant terms].</t>
  </si>
  <si>
    <t>P10</t>
  </si>
  <si>
    <t>P11</t>
  </si>
  <si>
    <t>${P10} = '1'</t>
  </si>
  <si>
    <t>P13</t>
  </si>
  <si>
    <t>P14</t>
  </si>
  <si>
    <t>${P13} = '1'</t>
  </si>
  <si>
    <t>note9</t>
  </si>
  <si>
    <t>The following question is about sitting or reclining at work, at home, getting to and from places, or with friends including time spent sitting at a desk, sitting with friends, traveling in car, bus, train, reading, playing cards or watching television, but do not include time spent sleeping.</t>
  </si>
  <si>
    <t>H1</t>
  </si>
  <si>
    <t>H2a</t>
  </si>
  <si>
    <t>${H1} = '1'</t>
  </si>
  <si>
    <t>H2b</t>
  </si>
  <si>
    <t>${H2a} = '1'</t>
  </si>
  <si>
    <t>H3</t>
  </si>
  <si>
    <t>H4</t>
  </si>
  <si>
    <t>H5</t>
  </si>
  <si>
    <t>H6</t>
  </si>
  <si>
    <t>H7a</t>
  </si>
  <si>
    <t>${H6} = '1'</t>
  </si>
  <si>
    <t>H7b</t>
  </si>
  <si>
    <t>${H7a} = '1'</t>
  </si>
  <si>
    <t>H8</t>
  </si>
  <si>
    <t>H9</t>
  </si>
  <si>
    <t>H10</t>
  </si>
  <si>
    <t>H11</t>
  </si>
  <si>
    <t>H12</t>
  </si>
  <si>
    <t>H13a</t>
  </si>
  <si>
    <t>${H12} = '1'</t>
  </si>
  <si>
    <t>H13b</t>
  </si>
  <si>
    <t>${H13a} = '1'</t>
  </si>
  <si>
    <t>H14</t>
  </si>
  <si>
    <t>H15</t>
  </si>
  <si>
    <t>H16</t>
  </si>
  <si>
    <t>H17</t>
  </si>
  <si>
    <t>H18</t>
  </si>
  <si>
    <t>H19</t>
  </si>
  <si>
    <t>H20a</t>
  </si>
  <si>
    <t>H20b</t>
  </si>
  <si>
    <t>H20c</t>
  </si>
  <si>
    <t>H20d</t>
  </si>
  <si>
    <t>H20e</t>
  </si>
  <si>
    <t>H20f</t>
  </si>
  <si>
    <t>${C1} = '2'</t>
  </si>
  <si>
    <t>note10</t>
  </si>
  <si>
    <t>The next question asks about cervical cancer prevention. Screening tests for cervical cancer prevention can be done in different ways, including Visual Inspection with Acetic Acid/vinegar (VIA), pap smear and Human Papillomavirus (HPV) test. VIA is an inspection of the surface of the uterine cervix after acetic acid (or vinegar) has been applied to it. For both pap smear and HPV test, a doctor or nurse uses a swab to wipe from inside your vagina, take a sample and send it to a laboratory. It is even possible that you were given the swab yourself and asked to swab the inside of your vagina. The laboratory checks for abnormal cell changes if a pap smear is done, and for the HP virus if an HPV test is done.</t>
  </si>
  <si>
    <t>CX1</t>
  </si>
  <si>
    <t>step2_physical_measurements</t>
  </si>
  <si>
    <t>Step 2: Physical Measurements</t>
  </si>
  <si>
    <t>M1</t>
  </si>
  <si>
    <t>M2</t>
  </si>
  <si>
    <t>M4grp</t>
  </si>
  <si>
    <t>Reading 1</t>
  </si>
  <si>
    <t>M4a</t>
  </si>
  <si>
    <t>M4b</t>
  </si>
  <si>
    <t>M5grp</t>
  </si>
  <si>
    <t>Reading 2</t>
  </si>
  <si>
    <t>M5a</t>
  </si>
  <si>
    <t>M5b</t>
  </si>
  <si>
    <t>M6grp</t>
  </si>
  <si>
    <t>Reading 3</t>
  </si>
  <si>
    <t>M6a</t>
  </si>
  <si>
    <t>M6b</t>
  </si>
  <si>
    <t>M7</t>
  </si>
  <si>
    <t>M8</t>
  </si>
  <si>
    <t>M9</t>
  </si>
  <si>
    <t>M10a</t>
  </si>
  <si>
    <t>M10b</t>
  </si>
  <si>
    <t>decimal</t>
  </si>
  <si>
    <t>M11</t>
  </si>
  <si>
    <t>M12</t>
  </si>
  <si>
    <t>M13</t>
  </si>
  <si>
    <t>M14</t>
  </si>
  <si>
    <t>M15</t>
  </si>
  <si>
    <t>M16a</t>
  </si>
  <si>
    <t>M16b</t>
  </si>
  <si>
    <t>M16c</t>
  </si>
  <si>
    <t>${T2} = '2' or ${T5f} = '0'</t>
  </si>
  <si>
    <t>(${T5f} &gt; '0' and ${T5f} &lt;='50' ) or (${T5fw} &gt; '0' and ${T5fw} &lt;='350' )</t>
  </si>
  <si>
    <t>label::English</t>
  </si>
  <si>
    <t>Step 1</t>
  </si>
  <si>
    <t>step1</t>
  </si>
  <si>
    <t>demographics</t>
  </si>
  <si>
    <t>Demographic Information</t>
  </si>
  <si>
    <t>tobacco_use</t>
  </si>
  <si>
    <t>Tobacco Use</t>
  </si>
  <si>
    <t>alcohol_consumption</t>
  </si>
  <si>
    <t>Alcohol Consumption</t>
  </si>
  <si>
    <t>diet</t>
  </si>
  <si>
    <t>Diet</t>
  </si>
  <si>
    <t>physical_activity</t>
  </si>
  <si>
    <t>Physical Activity</t>
  </si>
  <si>
    <t>History of Raised Blood Pressure</t>
  </si>
  <si>
    <t>History of Diabetes</t>
  </si>
  <si>
    <t>history_of_diabetes</t>
  </si>
  <si>
    <t>history_of_raised_bp</t>
  </si>
  <si>
    <t>history_of_raised_total_cholesterol</t>
  </si>
  <si>
    <t>History of Cardiovascular Diseases</t>
  </si>
  <si>
    <t>Lifestyle Advice</t>
  </si>
  <si>
    <t>lifestyle_advice</t>
  </si>
  <si>
    <t>history_of_cardiovascular_disease</t>
  </si>
  <si>
    <t>cervical_cancer_screening</t>
  </si>
  <si>
    <t>Cervical Cancer Screening (for women only)</t>
  </si>
  <si>
    <t>History of Raised Total Cholesterol</t>
  </si>
  <si>
    <t xml:space="preserve">${T1} = '2' and ${T8} = '1' </t>
  </si>
  <si>
    <t>Waist</t>
  </si>
  <si>
    <t>waist</t>
  </si>
  <si>
    <t>Height and Weight</t>
  </si>
  <si>
    <t>height_weight</t>
  </si>
  <si>
    <t>Blood Pressure</t>
  </si>
  <si>
    <t>blood_pressure</t>
  </si>
  <si>
    <t>hip_circum</t>
  </si>
  <si>
    <t>Hip Circumference</t>
  </si>
  <si>
    <t>Number of days must be between 1 and 7.</t>
  </si>
  <si>
    <t>Please enter a number between 0 and 30.</t>
  </si>
  <si>
    <t>pa_vig_work_show_card</t>
  </si>
  <si>
    <t>(.&gt;=0 and .&lt;=7) or .=77</t>
  </si>
  <si>
    <t xml:space="preserve">${D3} != '0' and ${D3} != '77' </t>
  </si>
  <si>
    <t xml:space="preserve">${D1} != '0' and ${D1} != '77' </t>
  </si>
  <si>
    <t>(.&gt;=0 and .&lt;=30) or .=77</t>
  </si>
  <si>
    <t>media::image::English</t>
  </si>
  <si>
    <t>pa_mod_work_show_card</t>
  </si>
  <si>
    <t>pa_vig_leis_show_card</t>
  </si>
  <si>
    <t>pa_mod_leis_show_card</t>
  </si>
  <si>
    <t>(${T14e} &gt; '0' and ${T14e} &lt;='50' ) or (${T14ew} &gt; '0' and ${T14ew} &lt;='350' )</t>
  </si>
  <si>
    <t>${T13} = '2' or ${T14e} = '0'</t>
  </si>
  <si>
    <t>day</t>
  </si>
  <si>
    <t>C2a</t>
  </si>
  <si>
    <t>C2b</t>
  </si>
  <si>
    <t>C2c</t>
  </si>
  <si>
    <t>Step2Chk</t>
  </si>
  <si>
    <t>Has participant agreed to participate in Step 2 (physical measures)?</t>
  </si>
  <si>
    <t>${I5} = '1' and ${Step2Chk}='1'</t>
  </si>
  <si>
    <t>Please select whether answer is in years, months, or weeks, or or select don't know if respondent doesn't know.</t>
  </si>
  <si>
    <t>Leave blank if not known; otherwise, answer must be between 1 and 61 for Years, 1 to 11 for Months, or 1 to 30 for Weeks.</t>
  </si>
  <si>
    <t>(.&gt;=40 and .&lt;=300)  or .=888</t>
  </si>
  <si>
    <t>(.&gt;=30 and .&lt;=200 and .&lt;${M4a}) or .=888</t>
  </si>
  <si>
    <t>Enter '888' in all fields if participant has refused.</t>
  </si>
  <si>
    <t>(.&gt;0 and .&lt;=7) or .=77</t>
  </si>
  <si>
    <t>${P1} = '1' and ${P2}!='77'</t>
  </si>
  <si>
    <t>${P4} = '1' and ${P5}!='77'</t>
  </si>
  <si>
    <t>${P7} = '1' and ${P8}!='77'</t>
  </si>
  <si>
    <t>${P10} = '1' and ${P11}!='77'</t>
  </si>
  <si>
    <t>${P13} = '1' and ${P14}!='77'</t>
  </si>
  <si>
    <t>(.&gt;=0 and .&lt;=50) or .=77</t>
  </si>
  <si>
    <t>(.&gt;=0 and .&lt;=350) or .=777</t>
  </si>
  <si>
    <t>Enter '77' if not known OR enter '0' if respondent does not smoke manufactured cigarettes daily.</t>
  </si>
  <si>
    <t>Enter '77' if not known OR enter '0' if respondent does not smoke hand-rolled cigarettes daily.</t>
  </si>
  <si>
    <t>Enter '777' if not known OR enter '0' if respondent does not smoke hand-rolled cigarettes weekly.</t>
  </si>
  <si>
    <t>Enter '77' if not known OR enter '0' if respondent does not smoke pipes full of tobacco daily.</t>
  </si>
  <si>
    <t>Enter '777' if not known OR enter '0' if respondent does not smoke pipes full of tobacco weekly.</t>
  </si>
  <si>
    <t>Enter '77' if not known OR enter '0' if respondent does not smoke cigars, cheroots, or cigarillos daily.</t>
  </si>
  <si>
    <t>Enter '777' if not known OR enter '0' if respondent does not smoke cigars, cheroots, or cigarillos weekly.</t>
  </si>
  <si>
    <t>Enter '77' if not known OR enter '0' if respondent does not smoke Shisha sessions daily.</t>
  </si>
  <si>
    <t>Enter '777' if not known OR enter '0' if respondent does not smoke Shisha sessions weekly.</t>
  </si>
  <si>
    <t>Only record OTHER tobacco products not already included in previous questions. Enter '77' if not known OR enter '0' if respondent does not smoke other product daily.</t>
  </si>
  <si>
    <t>Only record OTHER tobacco products not already included in previous questions.  Enter '777' if not known OR enter '0' if respondent does not smoke other products weekly.</t>
  </si>
  <si>
    <t>(${T11type} = 'weeks' and ${T11} &gt; 0 and ${T11} &lt;= 30) or (${T11type} = 'months' and ${T11} &gt; 0 and ${T11} &lt;= 11) or (${T11type} = 'years' and ${T11} &gt; 0 and ${T11} &lt;=61) or (${T11type} = '77' and ${T11} = '')</t>
  </si>
  <si>
    <t>(.&gt;=1 and .&lt;=50) or .=77</t>
  </si>
  <si>
    <t>Enter '77' if not known OR enter '0' if respondent does not use snuff, by mouth, daily.</t>
  </si>
  <si>
    <t>Enter '77' if not known OR enter '0' if respondent does not use snuff, by nose, daily.</t>
  </si>
  <si>
    <t>Enter '77' if not known OR enter '0' if respondent does not use chewing tobacco daily.</t>
  </si>
  <si>
    <t>Enter '77' if not known OR enter '0' if respondent does not use betel or quid daily.</t>
  </si>
  <si>
    <t>Enter '777' if not known OR enter '0' if respondent does not use snuff, by mouth, weekly.</t>
  </si>
  <si>
    <t>Enter '777' if not known OR enter '0' if respondent does not use snuff, by nose, weekly.</t>
  </si>
  <si>
    <t>Enter '777' if not known OR enter '0' if respondent does not use chewing tobacco weekly.</t>
  </si>
  <si>
    <t>Enter '777' if not known OR enter '0' if respondent does not use betel or quid weekly.</t>
  </si>
  <si>
    <t>Enter '777' if not known OR enter '0' if respondent does not smoke manufactured cigarettes weekly.</t>
  </si>
  <si>
    <t>Enter '77' if not known OR enter '0' if respondent does not use other type of tobacco daily.</t>
  </si>
  <si>
    <t>Enter '777' if not known OR enter '0' if respondent does not use other type of tobacco weekly.</t>
  </si>
  <si>
    <t>(.&gt;=1 and .&lt;=20) or .=77</t>
  </si>
  <si>
    <t>Days of the week must be between 0 and 7.</t>
  </si>
  <si>
    <t xml:space="preserve">Number of servings must be between 1 and 20. </t>
  </si>
  <si>
    <t>Height must be between 100 and 270cm.</t>
  </si>
  <si>
    <t>Weight must be between 20 and 350kg.</t>
  </si>
  <si>
    <t>Waist circumference must be between 30 and 200cm.</t>
  </si>
  <si>
    <t>Hip circumference must be between 45 and 300cm.</t>
  </si>
  <si>
    <t>(.&gt;=40 and .&lt;=300) or .=888</t>
  </si>
  <si>
    <t>(.&gt;=30 and .&lt;=200 and .&lt;${M5a}) or .=888</t>
  </si>
  <si>
    <t>(.&gt;=30 and .&lt;=200 and .&lt;${M6a}) or .=888</t>
  </si>
  <si>
    <t xml:space="preserve">Number must be between 1 and 50.  </t>
  </si>
  <si>
    <t>Number must be between 0 and 50.</t>
  </si>
  <si>
    <t>Enter '0' if the participant did not consume any of this type of alcohol.
Enter '77' if not known.</t>
  </si>
  <si>
    <t>Diastolic blood pressure must be between 30 and 200mmHg. Diastolic blood pressure cannot be greater than systolic blood pressure.</t>
  </si>
  <si>
    <t xml:space="preserve">Systolic blood pressure must be between 40 and 300mmHg. </t>
  </si>
  <si>
    <t>Heart rate cannot be less than 30bpm or more than 200bpm. Enter '888' in all 3 fields if refused.</t>
  </si>
  <si>
    <t>(.&gt;=30 and .&lt;=200 and ${M4a}&gt;=40 and ${M4a}&lt;=300 and ${M4b}&gt;=30 and ${M4b}&lt;=200) or (.=888 and ${M4a}=888 and ${M4b}=888)</t>
  </si>
  <si>
    <t>(.&gt;=30 and .&lt;=200 and ${M5a}&gt;=40 and ${M5a}&lt;=300 and ${M5b}&gt;=30 and ${M5b}&lt;=200) or (.=888 and ${M5a}=888 and ${M5b}=888)</t>
  </si>
  <si>
    <t>(.&gt;=30 and .&lt;=200 and ${M6a}&gt;=40 and ${M6a}&lt;=300 and ${M6b}&gt;=30 and ${M6b}&lt;=200) or (.=888 and ${M6a}=888 and ${M6b}=888)</t>
  </si>
  <si>
    <t>${M4a} != '888'</t>
  </si>
  <si>
    <t>${M4a} != '888' and ${M5a}!='888'</t>
  </si>
  <si>
    <t>P3a</t>
  </si>
  <si>
    <t>P3b</t>
  </si>
  <si>
    <t>minutes</t>
  </si>
  <si>
    <t>P3grp</t>
  </si>
  <si>
    <t>(.&gt;=0 and .&lt;=16) or .=77</t>
  </si>
  <si>
    <t>P6grp</t>
  </si>
  <si>
    <t>P6a</t>
  </si>
  <si>
    <t>P6b</t>
  </si>
  <si>
    <t>P9grp</t>
  </si>
  <si>
    <t>P9a</t>
  </si>
  <si>
    <t>P9b</t>
  </si>
  <si>
    <t>P12grp</t>
  </si>
  <si>
    <t>P12a</t>
  </si>
  <si>
    <t>P12b</t>
  </si>
  <si>
    <t>P15grp</t>
  </si>
  <si>
    <t>P15a</t>
  </si>
  <si>
    <t>P15b</t>
  </si>
  <si>
    <t>P16grp</t>
  </si>
  <si>
    <t>P16a</t>
  </si>
  <si>
    <t>P16b</t>
  </si>
  <si>
    <t>ID must be a positive number.</t>
  </si>
  <si>
    <t xml:space="preserve">Number must be between 0 and 50. </t>
  </si>
  <si>
    <t xml:space="preserve">Number must be between 0 and 350. </t>
  </si>
  <si>
    <t>Cannot enter a negative number.</t>
  </si>
  <si>
    <t xml:space="preserve">(.&gt;=0 and .&lt;=59 and ${P16a}&gt;=0 and ${P16a}&lt;16) or (.=77 and ${P16a}=77) or (.=0 and ${P16a}=16)
</t>
  </si>
  <si>
    <t>pid_note</t>
  </si>
  <si>
    <t>PID: ${pid}</t>
  </si>
  <si>
    <t>hh_size</t>
  </si>
  <si>
    <t>hh_size_note</t>
  </si>
  <si>
    <t>Household size: ${hh_size}</t>
  </si>
  <si>
    <t>subscriberid</t>
  </si>
  <si>
    <t>PA vigorous leisure show card</t>
  </si>
  <si>
    <t>PA moderate leisure show card</t>
  </si>
  <si>
    <t>PA moderate work show card</t>
  </si>
  <si>
    <t>PA vigorous work show card</t>
  </si>
  <si>
    <t>smoked_tb_showcard</t>
  </si>
  <si>
    <t>Smoked tobacco products</t>
  </si>
  <si>
    <t>T12grp</t>
  </si>
  <si>
    <t>smokeless_tb_showcard</t>
  </si>
  <si>
    <t>Smokeless tobacco products</t>
  </si>
  <si>
    <t>P1grp</t>
  </si>
  <si>
    <t>P4grp</t>
  </si>
  <si>
    <t>P10grp</t>
  </si>
  <si>
    <t>P13grp</t>
  </si>
  <si>
    <t>T1grp</t>
  </si>
  <si>
    <t>Enter '77' if not known and '88' for refused.</t>
  </si>
  <si>
    <t>time_dd</t>
  </si>
  <si>
    <t>time_mm</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</si>
  <si>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</si>
  <si>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</si>
  <si>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</si>
  <si>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</si>
  <si>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</si>
  <si>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</si>
  <si>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</si>
  <si>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</si>
  <si>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</si>
  <si>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</si>
  <si>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</si>
  <si>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</si>
  <si>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</si>
  <si>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</si>
  <si>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</si>
  <si>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</si>
  <si>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</si>
  <si>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</si>
  <si>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</si>
  <si>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</si>
  <si>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</si>
  <si>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</si>
  <si>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</si>
  <si>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</si>
  <si>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</si>
  <si>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</si>
  <si>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</si>
  <si>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</si>
  <si>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</si>
  <si>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</si>
  <si>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</si>
  <si>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select_one time_dd</t>
  </si>
  <si>
    <t>select_one time_mm</t>
  </si>
  <si>
    <t>select_one time_yyyy</t>
  </si>
  <si>
    <t>dobnote</t>
  </si>
  <si>
    <t>January</t>
  </si>
  <si>
    <t>February</t>
  </si>
  <si>
    <t>March</t>
  </si>
  <si>
    <t>April</t>
  </si>
  <si>
    <t>May</t>
  </si>
  <si>
    <t>June</t>
  </si>
  <si>
    <t>July</t>
  </si>
  <si>
    <t>August</t>
  </si>
  <si>
    <t>September</t>
  </si>
  <si>
    <t>October</t>
  </si>
  <si>
    <t>November</t>
  </si>
  <si>
    <t>December</t>
  </si>
  <si>
    <t>Select "Don't know" in all fields if complete date of birth is not known.</t>
  </si>
  <si>
    <t>minage</t>
  </si>
  <si>
    <t>maxage</t>
  </si>
  <si>
    <t>.&gt;=${minage} and .&lt;=${maxage}</t>
  </si>
  <si>
    <t>Date of birth</t>
  </si>
  <si>
    <t>Age must be within the age range of the survey.</t>
  </si>
  <si>
    <t>(.&gt;=1 and .&lt;=12 and ${C2a}!=77) or (.=77 and ${C2a}=77)</t>
  </si>
  <si>
    <t>(.&gt;=${hh_size} and .&lt;=30) or .=77 or .=88</t>
  </si>
  <si>
    <t>Number of people aged 18 years cannot be less than the number of people recorded during participant selection or bigger than 30.</t>
  </si>
  <si>
    <t>C2: What is your date of birth?</t>
  </si>
  <si>
    <t>I3. Interviewer ID</t>
  </si>
  <si>
    <t>I5. Consent has been read and obtained</t>
  </si>
  <si>
    <t>I6. Interview Language</t>
  </si>
  <si>
    <t>I8. Family Surname</t>
  </si>
  <si>
    <t>I9. First Name</t>
  </si>
  <si>
    <t>I10. Contact phone number where possible</t>
  </si>
  <si>
    <t>C1. Sex</t>
  </si>
  <si>
    <t>C3. How old are you?</t>
  </si>
  <si>
    <t>C4. In total, how many years have you spent at school and in full-time study (excluding pre-school)?</t>
  </si>
  <si>
    <t>C5. What is the highest level of education you have completed?</t>
  </si>
  <si>
    <t>C6. What is your ethnic background?</t>
  </si>
  <si>
    <t>C7. What is your marital status?</t>
  </si>
  <si>
    <t>C8. Which of the following best describes your main work status over the past 12 months?</t>
  </si>
  <si>
    <t>T1. Do you currently smoke any tobacco products, such as cigarettes, cigars or pipes?</t>
  </si>
  <si>
    <t>T2. Do you currently smoke tobacco products daily?</t>
  </si>
  <si>
    <t>T3. How old were you when you first started smoking?</t>
  </si>
  <si>
    <t>T4. Do you remember how long ago it was?</t>
  </si>
  <si>
    <t>T5a. On average, how many manufactured cigarettes do you smoke each day?</t>
  </si>
  <si>
    <t>T5aw. On average, how many manufactured cigarettes do you smoke each week?</t>
  </si>
  <si>
    <t>T5b. On average, how many hand-rolled cigarettes do you smoke each day?</t>
  </si>
  <si>
    <t>T5bw. On average, how many hand-rolled cigarettes do you smoke each week?</t>
  </si>
  <si>
    <t>T5c. On average, how many pipes full of tobacco do you smoke each day?</t>
  </si>
  <si>
    <t>T5cw. On average, how many pipes full of tobacco do you smoke each week?</t>
  </si>
  <si>
    <t>T5d. On average, how many cigars, cheroots, or cigarillos do you smoke each day?</t>
  </si>
  <si>
    <t>T5dw. On average, how many cigars, cheroots, or cigarillos do you smoke each week?</t>
  </si>
  <si>
    <t>T5e. On average, how many Shisha sessions do you smoke each day?</t>
  </si>
  <si>
    <t>T5ew. On average, how many Shisha sessions do you smoke each week?</t>
  </si>
  <si>
    <t>T5f. On average, how many other tobacco products do you smoke each day?</t>
  </si>
  <si>
    <t>T5fw. On average, how many other tobacco products do you smoke each week?</t>
  </si>
  <si>
    <t>T5other. Please specify other type of tobacco smoked</t>
  </si>
  <si>
    <t xml:space="preserve">T6. During the past 12 months, have you tried to stop smoking? </t>
  </si>
  <si>
    <t>T7. During any visit to a doctor or other health worker in the past 12 months, were you advised to quit smoking tobacco?</t>
  </si>
  <si>
    <t>T8. In the past, did you ever smoke any tobacco products?</t>
  </si>
  <si>
    <t>T9. In the past, did you ever smoke daily?</t>
  </si>
  <si>
    <t>T10. How old were you when you stopped smoking?</t>
  </si>
  <si>
    <t>T11. How long ago did you stop smoking?</t>
  </si>
  <si>
    <t xml:space="preserve">T12. Do you currently use any smokeless tobacco products such as [snuff, chewing tobacco, betel]? </t>
  </si>
  <si>
    <t xml:space="preserve">T13. Do you currently use smokeless tobacco products daily? </t>
  </si>
  <si>
    <t>T14a. On average, how many times a day do you use snuff, by mouth?</t>
  </si>
  <si>
    <t>T14aw. On average, how many times a week do you use snuff, by mouth?</t>
  </si>
  <si>
    <t>T14b. On average, how many times a day do you use snuff, by nose?</t>
  </si>
  <si>
    <t>T14bw. On average, how many times a week do you use snuff, by nose?</t>
  </si>
  <si>
    <t>T14c. On average, how many times a day do you use chewing tobacco?</t>
  </si>
  <si>
    <t>T14cw. On average, how many times a week do you use chewing tobacco?</t>
  </si>
  <si>
    <t>T14d. On average, how many times a day do you use betel or quid?</t>
  </si>
  <si>
    <t>T14dw. On average, how many times a week do you use betel or quid?</t>
  </si>
  <si>
    <t>T14e. On average, how many times a day do you use any other smokeless tobacco product?</t>
  </si>
  <si>
    <t>T14ew. On average, how many times a week do you use any other smokeless tobacco product?</t>
  </si>
  <si>
    <t>T14other. Please specify other type of tobacco used</t>
  </si>
  <si>
    <t>T15. In the past, did you ever use smokeless tobacco products such as [snuff, chewing tobacco, or betel]?</t>
  </si>
  <si>
    <t>T16. In the past, did you ever use smokeless tobacco products such as [snuff, chewing tobacco, or betel] daily?</t>
  </si>
  <si>
    <t>T17. During the past 30 days, did someone smoke in your home?</t>
  </si>
  <si>
    <t>T18. During the past 30 days, did someone smoke in closed areas in your workplace (in the building, in a work area or a specific office)?</t>
  </si>
  <si>
    <t>Age must be at least 8 and no more than the upper age limit of the survey.</t>
  </si>
  <si>
    <t>alcweek</t>
  </si>
  <si>
    <t>Last week</t>
  </si>
  <si>
    <t>Monday</t>
  </si>
  <si>
    <t>Tuesday</t>
  </si>
  <si>
    <t>Wednesday</t>
  </si>
  <si>
    <t>Thursday</t>
  </si>
  <si>
    <t>Friday</t>
  </si>
  <si>
    <t>Saturday</t>
  </si>
  <si>
    <t>Sunday</t>
  </si>
  <si>
    <t>note999</t>
  </si>
  <si>
    <t>Enter '0' if participant did not drink on a specific day.  
Enter '77' if not known.</t>
  </si>
  <si>
    <t>A10: During each of the past 7 days, how many standard drinks did you have each day?</t>
  </si>
  <si>
    <t>A2. Have you consumed any alcohol within the past 12 months?</t>
  </si>
  <si>
    <t>A3. Have you stopped drinking due to health reasons, such as a negative impact on your health or on the advice of your doctor or other health worker?</t>
  </si>
  <si>
    <t>A4. During the past 12 months, how frequently have you had at least one standard alcoholic drink?</t>
  </si>
  <si>
    <t>A5. Have you consumed any alcohol within the past 30 days?</t>
  </si>
  <si>
    <t>A6. During the past 30 days, on how many occasions did you have at least one standard alcoholic drink?</t>
  </si>
  <si>
    <t>A7. During the past 30 days, when you drank alcohol, how many standard drinks on average did you have during one drinking occasion?</t>
  </si>
  <si>
    <t>A8. During the past 30 days, what was the largest number of standard drinks you had on a single occasion, counting all types of alcoholic drinks together?</t>
  </si>
  <si>
    <t>A9. During the past 30 days, how many times did you have six or more standard drinks in a single drinking occasion?</t>
  </si>
  <si>
    <t>A11. During the past 7 days, did you consume any homebrewed alcohol, any alcohol brought over the border/from another country, any alcohol not intended for drinking or other untaxed alcohol?</t>
  </si>
  <si>
    <t>A13. During the past 12 months, how often have you found that you were not able to stop drinking once you had started?</t>
  </si>
  <si>
    <t>A14. During the past 12 months, how often have you failed to do what was normally expected from you because of drinking?</t>
  </si>
  <si>
    <t>A15. During the past 12 months, how often have you needed a first drink in the morning to get yourself going after a heavy drinking session?</t>
  </si>
  <si>
    <t>A16. During the past 12 months, have you had family problems or problems with your partner due to someone else’s drinking?</t>
  </si>
  <si>
    <t>Please enter a response for all days of the week.</t>
  </si>
  <si>
    <t>Please enter a response for each type of alcohol.</t>
  </si>
  <si>
    <t>note998</t>
  </si>
  <si>
    <t>unrecalc</t>
  </si>
  <si>
    <t>Unrecorded alcohol</t>
  </si>
  <si>
    <t>A12. On average, how many standard drinks of the following did you consume during the past 7 days?</t>
  </si>
  <si>
    <t>-</t>
  </si>
  <si>
    <t>blank1</t>
  </si>
  <si>
    <t>blank.png</t>
  </si>
  <si>
    <t>salt_control</t>
  </si>
  <si>
    <t>Salt Control</t>
  </si>
  <si>
    <t>control</t>
  </si>
  <si>
    <t>Limit consumption of processed foods</t>
  </si>
  <si>
    <t>Buy low salt/sodium alternatives</t>
  </si>
  <si>
    <t>Use spices other than salt when cooking</t>
  </si>
  <si>
    <t>Avoid eating foods prepared outside of a home</t>
  </si>
  <si>
    <t>Do other things specifically to control your salt intake</t>
  </si>
  <si>
    <t>Look at the salt or sodium content on food labels</t>
  </si>
  <si>
    <t>Please enter a response for all questions on the screen.</t>
  </si>
  <si>
    <t xml:space="preserve">D2. How many servings of fruit do you eat on one of those days? </t>
  </si>
  <si>
    <t>D3. In a typical week, on how many days do you eat vegetables?</t>
  </si>
  <si>
    <t xml:space="preserve">D4. How many servings of vegetables do you eat on one of those days?  </t>
  </si>
  <si>
    <t>D11. Do you do any of the following on a regular basis to control your salt intake?</t>
  </si>
  <si>
    <t>D6. How often is salt, salty seasoning or a salty sauce added in cooking or preparing foods in your household?</t>
  </si>
  <si>
    <t>D7. How often do you eat processed food high in salt?  By processed food high in salt, I mean foods that have been altered from their natural state, such as packaged salty snacks, canned salty food including pickles and preserves, salty food prepared at a fast food restaurant, cheese, bacon and processed meat [add country specific examples].</t>
  </si>
  <si>
    <t>D8. How much salt or salty sauce do you think you consume?</t>
  </si>
  <si>
    <t>D9. How important to you is lowering the salt in your diet?</t>
  </si>
  <si>
    <t>D10. Do you think that too much salt or salty sauce in your diet could cause a health problem?</t>
  </si>
  <si>
    <t>D11other. Please specify other things done specifically to control your salt intake:</t>
  </si>
  <si>
    <t>P2. In a typical week, on how many days do you do vigorous-intensity activities as part of your work?</t>
  </si>
  <si>
    <t>P3note</t>
  </si>
  <si>
    <t>P3a. How much time do you spend doing vigorous-intensity activities at work on a typical day?</t>
  </si>
  <si>
    <t>hours</t>
  </si>
  <si>
    <t>P6note</t>
  </si>
  <si>
    <t>P6. How much time do you spend doing moderate-intensity activities at work on a typical day?</t>
  </si>
  <si>
    <t xml:space="preserve">P5. In a typical week, on how many days do you do moderate-intensity activities as part of your work? </t>
  </si>
  <si>
    <t>P9note</t>
  </si>
  <si>
    <t>P9. How much time do you spend walking or bicycling for travel on a typical day?</t>
  </si>
  <si>
    <t>P11. In a typical week, on how many days do you do vigorous-intensity sports, fitness or recreational (leisure) activities?</t>
  </si>
  <si>
    <t xml:space="preserve">P14. In a typical week, on how many days do you do moderate-intensity sports, fitness or recreational (leisure) activities? </t>
  </si>
  <si>
    <t>P12. How much time do you spend doing vigorous-intensity sports, fitness or recreational activities on a typical day?</t>
  </si>
  <si>
    <t>P15note</t>
  </si>
  <si>
    <t>P12note</t>
  </si>
  <si>
    <t>P15. How much time do you spend doing moderate-intensity sports, fitness or recreational (leisure) activities on a typical day?</t>
  </si>
  <si>
    <t>P16. How much time do you usually spend sitting or reclining on a typical day?</t>
  </si>
  <si>
    <t>P16note</t>
  </si>
  <si>
    <t>lifenote</t>
  </si>
  <si>
    <t>Quit using tobacco or don’t start</t>
  </si>
  <si>
    <t>Reduce salt in your diet</t>
  </si>
  <si>
    <t>Eat at least five servings of fruit and/or vegetables each day</t>
  </si>
  <si>
    <t>Reduce fat in your diet</t>
  </si>
  <si>
    <t>Start or do more physical activity</t>
  </si>
  <si>
    <t>Maintain a healthy body weight or lose weight</t>
  </si>
  <si>
    <t>CX1. Have you ever had a screening test for cervical cancer, using any of these methods described above?</t>
  </si>
  <si>
    <t>H17. Have you ever had a heart attack or chest pain from heart disease (angina) or a stroke (cerebrovascular accident or incident)?</t>
  </si>
  <si>
    <t>H18. Are you currently taking aspirin regularly to prevent or treat heart disease?</t>
  </si>
  <si>
    <t>H19. Are you currently taking statins (Lovastatin/Simvastatin/Atorvastatin or any other statin) regularly to prevent or treat heart disease?</t>
  </si>
  <si>
    <t>H12. Have you ever had your cholesterol (fat levels in your blood) measured by a doctor or other health worker?</t>
  </si>
  <si>
    <t>H13a. Have you ever been told by a doctor or other health worker that you have raised cholesterol?</t>
  </si>
  <si>
    <t>H14. In the past two weeks, have you taken any oral treatment (medication) for raised total cholesterol prescribed by a doctor or other health worker?</t>
  </si>
  <si>
    <t>H15. Have you ever seen a traditional healer for raised cholesterol?</t>
  </si>
  <si>
    <t>H16. Are you currently taking any herbal or traditional remedy for your raised cholesterol?</t>
  </si>
  <si>
    <t>H6. Have you ever had your blood sugar measured by a doctor or other health worker?</t>
  </si>
  <si>
    <t>H7a. Have you ever been told by a doctor or other health worker that you have raised blood sugar or diabetes?</t>
  </si>
  <si>
    <t>H8. In the past two weeks, have you taken any drugs (medication) for diabetes prescribed by a doctor or other health worker?</t>
  </si>
  <si>
    <t>H9. Are you currently taking insulin for diabetes prescribed by a doctor or other health worker?</t>
  </si>
  <si>
    <t>H10. Have you ever seen a traditional healer for diabetes or raised blood sugar?</t>
  </si>
  <si>
    <t>H11. Are you currently taking any herbal or traditional remedy for your diabetes?</t>
  </si>
  <si>
    <t>H1. Have you ever had your blood pressure measured by a doctor or other health worker?</t>
  </si>
  <si>
    <t>H2a. Have you ever been told by a doctor or other health worker that you have raised blood pressure or hypertension?</t>
  </si>
  <si>
    <t>H3. In the past two weeks, have you taken any drugs (medication) for raised blood pressure prescribed by a doctor or other health worker?</t>
  </si>
  <si>
    <t>H4. Have you ever seen a traditional healer for raised blood pressure or hypertension?</t>
  </si>
  <si>
    <t>H5. Are you currently taking any herbal or traditional remedy for your raised blood pressure?</t>
  </si>
  <si>
    <t>M1. Interviewer ID</t>
  </si>
  <si>
    <t>M2. Device ID for blood pressure</t>
  </si>
  <si>
    <t>M4a. Systolic blood pressure (mmHg)</t>
  </si>
  <si>
    <t>M4b. Diastolic blood pressure (mmHg)</t>
  </si>
  <si>
    <t>M16a. Heart rate (beats per minute)</t>
  </si>
  <si>
    <t>M5a. Systolic blood pressure (mmHg)</t>
  </si>
  <si>
    <t>M5b. Diastolic blood pressure (mmHg)</t>
  </si>
  <si>
    <t>M16b. Heart rate (beats per minute)</t>
  </si>
  <si>
    <t>M6a. Systolic blood pressure (mmHg)</t>
  </si>
  <si>
    <t>M6b. Diastolic blood pressure (mmHg)</t>
  </si>
  <si>
    <t>M16c. Heart rate (beats per minute)</t>
  </si>
  <si>
    <t>M7. During the past two weeks, have you been treated for raised blood pressure with drugs (medication) prescribed by a doctor or other health worker?</t>
  </si>
  <si>
    <t>M9. Interviewer ID</t>
  </si>
  <si>
    <t>M10a. Device ID for height</t>
  </si>
  <si>
    <t>M10b. Device ID for weight</t>
  </si>
  <si>
    <t>M11. Height (in centimetres)</t>
  </si>
  <si>
    <t>M12. Weight (in kilograms)</t>
  </si>
  <si>
    <t>M13. Device ID for waist</t>
  </si>
  <si>
    <t>M14. Waist circumference (in centimetres)</t>
  </si>
  <si>
    <t>M15. Hip circumference (in centimeters)</t>
  </si>
  <si>
    <t>reading1</t>
  </si>
  <si>
    <t>Blood Pressure and Heart Rate 1</t>
  </si>
  <si>
    <t>Blood Pressure and Heart Rate 2</t>
  </si>
  <si>
    <t>Blood Pressure and Heart Rate 3</t>
  </si>
  <si>
    <t>reading3</t>
  </si>
  <si>
    <t>reading2</t>
  </si>
  <si>
    <t>You cannot enter a partial date of birth. Select "Don't know" in all fields if complete date of birth is not known.</t>
  </si>
  <si>
    <t>constraint_message::English</t>
  </si>
  <si>
    <t>hint::English</t>
  </si>
  <si>
    <t>required_message::English</t>
  </si>
  <si>
    <t>smokeless_tobacco_en.png</t>
  </si>
  <si>
    <t>smoked_tobacco_en.png</t>
  </si>
  <si>
    <t>M8. Are you pregnant?</t>
  </si>
  <si>
    <t>(.&gt;=20 and .&lt;=350)  or .=888 or .=666</t>
  </si>
  <si>
    <t>Enter '888' if participant has refused.
Enter '666' if participant is too large for scale.</t>
  </si>
  <si>
    <t>(.&gt;=100 and .&lt;=270)  or .=888</t>
  </si>
  <si>
    <t>Enter '888' if participant has refused.</t>
  </si>
  <si>
    <t>(.&gt;=30 and .&lt;=200)  or .=888</t>
  </si>
  <si>
    <t>(.&gt;=45 and .&lt;=300)  or .=888</t>
  </si>
  <si>
    <t>geopoint</t>
  </si>
  <si>
    <t>Record GPS coordinates</t>
  </si>
  <si>
    <t>barcode</t>
  </si>
  <si>
    <t>${C1} = '1' or (${C1} = '2' and ${M8} = '2')</t>
  </si>
  <si>
    <t>Enter values in both fields.  
Time must be no more than 16 hours. 
Enter '77' in both fields if not known.</t>
  </si>
  <si>
    <t xml:space="preserve">. </t>
  </si>
  <si>
    <t>If you can't scan the QR code, please enter it manually below.</t>
  </si>
  <si>
    <t>gps_coordinates</t>
  </si>
  <si>
    <t>Location</t>
  </si>
  <si>
    <t>GPS coordinates are easier to get when outside.</t>
  </si>
  <si>
    <t>note_geopoint</t>
  </si>
  <si>
    <t xml:space="preserve"> ${geopoint}=''</t>
  </si>
  <si>
    <t>No GPS coordinates entered. Please try again.</t>
  </si>
  <si>
    <t>warn</t>
  </si>
  <si>
    <t>Did not see any cigarette packages</t>
  </si>
  <si>
    <t>With the next questions, we would like to learn more about salt in your diet. Dietary salt includes ordinary table salt, unrefined salt such as sea salt, iodized salt, salty stock cubes and powders, and salty sauces such as soy sauce or fish sauce (see showcard). The following questions are on adding salt to the food right before you eat it, on how food is prepared in your home, on eating processed foods that are high in salt such as [insert country specific examples], and questions on controlling your salt intake. Please answer the questions even if you consider yourself to eat a diet low in salt.</t>
  </si>
  <si>
    <t>D5. How often do you add salt or a salty sauce such as soy sauce to your food right before you eat it or as you are eating it?</t>
  </si>
  <si>
    <t>alcohol_use_standard_drinks</t>
  </si>
  <si>
    <t>standard_drinks_showcard</t>
  </si>
  <si>
    <t>standard_drinks_en.png</t>
  </si>
  <si>
    <t>note_pa</t>
  </si>
  <si>
    <t>fruits_serv</t>
  </si>
  <si>
    <t>fruit_servings</t>
  </si>
  <si>
    <t>Fuit servings</t>
  </si>
  <si>
    <t>fruit_servings.png</t>
  </si>
  <si>
    <t>vegetables_serv</t>
  </si>
  <si>
    <t>vegetqables_servings</t>
  </si>
  <si>
    <t>Vegetable servings</t>
  </si>
  <si>
    <t>vegetable_servings.png</t>
  </si>
  <si>
    <t>${I3}</t>
  </si>
  <si>
    <t>device_id</t>
  </si>
  <si>
    <t>once(pulldata('STEPS','member_id','hhid_key','1'))</t>
  </si>
  <si>
    <t>once(pulldata('STEPS','hh_size','hhid_key','1'))</t>
  </si>
  <si>
    <t>once(pulldata('STEPS','device_id','hhid_key','1'))</t>
  </si>
  <si>
    <t>once(pulldata('STEPS','family_surname','hhid_key','1'))</t>
  </si>
  <si>
    <t>once(pulldata('STEPS','gender','hhid_key','1'))</t>
  </si>
  <si>
    <t>once(pulldata('STEPS','first_name','hhid_key','1'))</t>
  </si>
  <si>
    <t>once(int(pulldata('STEPS','age','hhid_key','1')))</t>
  </si>
  <si>
    <t>((substr(${qr_scanned},6,7)+substr(${qr_scanned},3,4)=9) and (substr(${qr_scanned},5,6)+substr(${qr_scanned},2,3)=9) and (substr(${qr_scanned},7,8)+substr(${qr_scanned},0,1)=10)) and ((substr(${qr_scanned},4,5)+substr(${qr_scanned},1,2)=8) or (substr(${qr_scanned},4,5)+substr(${qr_scanned},1,2)=12))</t>
  </si>
  <si>
    <t>(regex(.,'[0-9]{8}') and (substr(${qr_manual},6,7)+substr(${qr_manual},3,4)=9) and (substr(${qr_manual},5,6)+substr(${qr_manual},2,3)=9) and (substr(${qr_manual},7,8)+substr(${qr_manual},0,1)=10)) and ((substr(${qr_manual},4,5)+substr(${qr_manual},1,2)=8) or (substr(${qr_manual},4,5)+substr(${qr_manual},1,2)=12)) or (.=99999999)</t>
  </si>
  <si>
    <t>H20</t>
  </si>
  <si>
    <t>${H20} = '1'</t>
  </si>
  <si>
    <t>During any of your visits to a doctor or other health worker in the past 12 months, were you advised  to do any of the following?</t>
  </si>
  <si>
    <t>H20. During the past 12 months, have you visited a doctor or other health worker?</t>
  </si>
  <si>
    <t>lifestyle_h20</t>
  </si>
  <si>
    <t>H20g</t>
  </si>
  <si>
    <t>Reduce sugary beverages in your diet</t>
  </si>
  <si>
    <t>qr_scanned</t>
  </si>
  <si>
    <t>qr_manual</t>
  </si>
  <si>
    <t>${qr_scanned} = ''</t>
  </si>
  <si>
    <t>Please enter the correct QR code composed of 8 characters.
(You can enter "99999999" for training purposes only)</t>
  </si>
  <si>
    <t>choice_filter</t>
  </si>
  <si>
    <t>geo_location</t>
  </si>
  <si>
    <t>I2b</t>
  </si>
  <si>
    <t>geo_other</t>
  </si>
  <si>
    <t>${I1} = "other" or ${I2} = "other" or ${I2b} = "other"</t>
  </si>
  <si>
    <t>${A5} = '1' and ${A6}!= '0'</t>
  </si>
  <si>
    <t>Homebrewed spirits, e.g. moonshine</t>
  </si>
  <si>
    <t>Homebrewed beer or wine (e.g. beer, palm or fruit wine)</t>
  </si>
  <si>
    <t>Alcohol brought over the border/from another country</t>
  </si>
  <si>
    <t>Alcohol not intended for drinking, e.g. alcohol-based medicines, perfumes, after shaves</t>
  </si>
  <si>
    <t>Other untaxed alcohol in the country</t>
  </si>
  <si>
    <t>if (${qr_scanned}='', ${qr_manual}, ${qr_scanned})</t>
  </si>
  <si>
    <t>form_logo</t>
  </si>
  <si>
    <t>form_logo_1.png</t>
  </si>
  <si>
    <t>Scan the participant's QR Code</t>
  </si>
  <si>
    <t>identification</t>
  </si>
  <si>
    <t>select_one psu</t>
  </si>
  <si>
    <t>select_one ssu</t>
  </si>
  <si>
    <t>select_one tsu</t>
  </si>
  <si>
    <t>psu=${I1}</t>
  </si>
  <si>
    <t>QR1</t>
  </si>
  <si>
    <t>H7b. Were you first told in the past 12 months?</t>
  </si>
  <si>
    <t>H13b. Were you first told in the past 12 months?</t>
  </si>
  <si>
    <t>H2b. Were you first told in the past 12 months?</t>
  </si>
  <si>
    <t>default_language</t>
  </si>
  <si>
    <t>pulldata('STEPS','form_name','hhid_key','1')</t>
  </si>
  <si>
    <t>step1_timestamp</t>
  </si>
  <si>
    <t>step2_timestamp</t>
  </si>
  <si>
    <t>steps1-2_time</t>
  </si>
  <si>
    <t>geopoint_note</t>
  </si>
  <si>
    <t>tinterview_time</t>
  </si>
  <si>
    <t>D1. In a typical week, on how many days do you eat fruits?</t>
  </si>
  <si>
    <t>if(${Step2Chk} = '', '', once(now()))</t>
  </si>
  <si>
    <t>step1_time</t>
  </si>
  <si>
    <t>round((decimal-date-time(${step2_timestamp})-decimal-date-time(${I7}))*60*24,0)</t>
  </si>
  <si>
    <t>round((decimal-date-time(${step1_timestamp})-decimal-date-time(${I7}))*60*24,0)</t>
  </si>
  <si>
    <t>${steps1-2_time} &lt; 30</t>
  </si>
  <si>
    <t>if(${M4a} = '', '', once(now()))</t>
  </si>
  <si>
    <t>M4a_timestamp</t>
  </si>
  <si>
    <t>M5a_timestamp</t>
  </si>
  <si>
    <t>if(${M5a} = '', '', once(now()))</t>
  </si>
  <si>
    <t>M6a_timestamp</t>
  </si>
  <si>
    <t>if(${M6a} = '', '', once(now()))</t>
  </si>
  <si>
    <t>step2_time</t>
  </si>
  <si>
    <t>round((decimal-date-time(${step2_timestamp})-decimal-date-time(${step1_timestamp}))*60*24,0)</t>
  </si>
  <si>
    <t>C9. How many people 18 years and older, including yourself, live in your household?</t>
  </si>
  <si>
    <t>Don't remember</t>
  </si>
  <si>
    <t>DOB</t>
  </si>
  <si>
    <t>if((${M15} != '' or ${M8}='1' ) and ${Step2Chk}=1, once(now()), '')</t>
  </si>
  <si>
    <t>yndkr</t>
  </si>
  <si>
    <t>ynr</t>
  </si>
  <si>
    <t>select_one yndk</t>
  </si>
  <si>
    <t>yndk</t>
  </si>
  <si>
    <t>yndrr</t>
  </si>
  <si>
    <t>select_one yndw</t>
  </si>
  <si>
    <t>yndw</t>
  </si>
  <si>
    <t>select_one yn</t>
  </si>
  <si>
    <t>yn</t>
  </si>
  <si>
    <t>select_one mf</t>
  </si>
  <si>
    <t>mf</t>
  </si>
  <si>
    <t>(.&gt;=1945 and .&lt;=2055 and ${C2a}!=77 and ${C2b}!=77) or (.=7777 and ${C2a}=77 and ${C2b}=77)</t>
  </si>
  <si>
    <t>${A11} = '1' and ${A6}!= '0'</t>
  </si>
  <si>
    <t>C2</t>
  </si>
  <si>
    <t xml:space="preserve"> ${C2a}!='' and ${C2b}!='' and ${C2c}!='' and ${C2a}!=77 and ${C2b}!=77 and ${C2c}!=7777</t>
  </si>
  <si>
    <t>concat(${C2c}, '-',  if(${C2b}&lt;10,(concat('0',${C2b})),${C2b}), '-',  if(${C2a}&lt;10,(concat('0',${C2a})),${C2a}))</t>
  </si>
  <si>
    <t xml:space="preserve"> ${C2a}=77</t>
  </si>
  <si>
    <t>age</t>
  </si>
  <si>
    <t>if((${C2a}=77), ${C3}, (round((decimal-date-time(today()) - decimal-date-time(${C2})) div 365.24)))</t>
  </si>
  <si>
    <t>&lt;span style="color:red;font-weight:bold"&gt;WARNING!&lt;/span&gt;&lt;br&gt;&lt;br&gt;Total Interview time (Step1 and Step2) = ${steps1-2_time} minutes.&lt;br&gt;&lt;br&gt;&lt;span style="color:blue;font-weight:bold"&gt;Please note that the time for this interview is below the minimum estimated time for Step 1 and Step2&lt;/span&gt;</t>
  </si>
  <si>
    <t>feedback</t>
  </si>
  <si>
    <t>average_SBP</t>
  </si>
  <si>
    <t>average_DBP</t>
  </si>
  <si>
    <t>average_heartrate</t>
  </si>
  <si>
    <t>(.&gt;=8 and .&lt;=${age}) or .=77</t>
  </si>
  <si>
    <t>(${T4type} = 'weeks' and ${T4} &gt; 0 and ${T4} &lt;= 30) or (${T4type} = 'months' and ${T4} &gt; 0 and ${T4} &lt;= 11) or (${T4type} = 'years' and ${T4} &gt; 0 and ${T4} &lt;(${age}-4)) or (${T4type} = '77' and ${T4} = '')</t>
  </si>
  <si>
    <t>Leave blank if not known; otherwise, answer must be between 1 and respondent's age (-4 years) for Years, 1 to 11 for Months, or 1 to 30 for Weeks.</t>
  </si>
  <si>
    <t>BMI</t>
  </si>
  <si>
    <t>${M11} != '' and ${M12} != ''</t>
  </si>
  <si>
    <t>round(if((${M16b}!=888 and ${M16c}!=888 and ${M16b}!='' and ${M16c}!=''),((${M16b}+${M16c}) div 2), if(((${M16c}=888 or ${M16c}='') and (${M16b}!=888 and ${M16a}!=888 and ${M16b}!='' and ${M16a}!='')),((${M16b}+${M16a}) div 2), if((${M16b}=888 and ${M16a}!=888), ${M16a}, ''))))</t>
  </si>
  <si>
    <t>round(if((${M5a}!=888 and ${M6a}!=888 and ${M5a}!='' and ${M6a}!=''),((${M5a}+${M6a}) div 2), if(((${M6a}=888 or ${M6a}='') and (${M5a}!=888 and ${M4a}!=888 and ${M5a}!='' and ${M4a}!='')),((${M5a}+${M4a}) div 2), if((${M5a}=888 and ${M4a}!=888), ${M4a}, ''))))</t>
  </si>
  <si>
    <t>round(if((${M5b}!=888 and ${M6b}!=888 and ${M5b}!='' and ${M6b}!=''),((${M5b}+${M6b}) div 2), if(((${M6b}=888 or ${M6b}='') and (${M5b}!=888 and ${M4b}!=888 and ${M5b}!='' and ${M4b}!='')),((${M5b}+${M4b}) div 2), if((${M5b}=888 and ${M4b}!=888), ${M4b}, ''))))</t>
  </si>
  <si>
    <t>round((${M12} div (${M11}*${M11}))*10000,1)</t>
  </si>
  <si>
    <t>agerange</t>
  </si>
  <si>
    <t>if((${age}&gt;=18 and ${age}&lt;=29), '18-29', if((${age}&gt;=30 and ${age}&lt;=44), '30-44', if((${age}&gt;=45 and ${age}&lt;=59), '45-59', if((${age}&gt;=60 and ${age}&lt;=69), '60-69', ''))))</t>
  </si>
  <si>
    <t>&lt;span style="color:#219F66"&gt;FEEDBACK FORM&lt;/span&gt;&lt;br&gt;&lt;br&gt;
Name: ${I9} __ ${I8}
Age: ${age} years&lt;br&gt;&lt;br&gt;&lt;br&gt;
&lt;span style="color:blue"&gt;Physical Measurements:&lt;/span&gt;&lt;br&gt;
Systolic Blood Pressure: ${average_SBP} mmHg.
Diastolic Blood Pressure: ${average_DBP} mmHg.
Heart rate:     ${average_heartrate} beats per minute.&lt;br&gt;&lt;br&gt;
Height:      ${M11} cm.
Weight:      ${M12} kg.
BMI (Body Mass Index)  ${BMI}.&lt;br&gt;&lt;br&gt;
Waist circumference:  ${M14} cm.
Hip circumference:   ${M15} cm.</t>
  </si>
  <si>
    <t>ssu=${I2}</t>
  </si>
  <si>
    <t xml:space="preserve">P1. Does your work involve vigorous-intensity activity that causes large increases in breathing or heart rate like [carrying or lifting heavy loads, digging or construction work]? </t>
  </si>
  <si>
    <t xml:space="preserve">P4. Does your work involve moderate-intensity activity, that causes small increases in breathing or heart rate such as brisk walking [or carrying light loads]?  </t>
  </si>
  <si>
    <t>P7. Do you walk or use a bicycle (pedal cycle) to get to and from places?</t>
  </si>
  <si>
    <t>P8. In a typical week, on how many days do you walk or bicycle to get to and from places?</t>
  </si>
  <si>
    <t xml:space="preserve">P10. Do you do any vigorous-intensity sports, fitness or recreational (leisure) activities that cause large increases in breathing or heart rate like [running or football]? </t>
  </si>
  <si>
    <t>P13. Do you do any moderate-intensity sports, fitness or recreational (leisure) activities that cause a small increase in breathing or heart rate such as brisk walking, [cycling, swimming, volleyball]?</t>
  </si>
  <si>
    <t>(.&gt;=1 and .&lt;=59 and ${P3a}&gt;=0 and ${P3a}&lt;16) or (.=77 and ${P3a}=77) or (.&gt;=0 and .&lt;10 and ${P3a}&gt;0 and ${P3a}&lt;16) or (.=0 and ${P3a}=16)</t>
  </si>
  <si>
    <t xml:space="preserve">(.&gt;=1 and .&lt;=59 and ${P6a}&gt;=0 and ${P6a}&lt;16) or (.=77 and ${P6a}=77) or (.&gt;=0 and .&lt;10 and ${P6a}&gt;0 and ${P6a}&lt;16) or (.=0 and ${P6a}=16)
</t>
  </si>
  <si>
    <t>(.&gt;=1 and .&lt;=59 and ${P9a}&gt;=0 and ${P9a}&lt;16) or (.=77 and ${P9a}=77) or (.&gt;=0 and .&lt;10 and ${P9a}&gt;0 and ${P9a}&lt;16) or (.=0 and ${P9a}=16)</t>
  </si>
  <si>
    <t>(.&gt;=1 and .&lt;=59 and ${P12a}&gt;=0 and ${P12a}&lt;16) or (.=77 and ${P12a}=77) or (.&gt;=0 and .&lt;10 and ${P12a}&gt;0 and ${P12a}&lt;16) or (.=0 and ${P12a}=16)</t>
  </si>
  <si>
    <t>(.&gt;=1 and .&lt;=59 and ${P15a}&gt;=0 and ${P15a}&lt;16) or (.=77 and ${P15a}=77) or (.&gt;=0 and .&lt;10 and ${P15a}&gt;0 and ${P15a}&lt;16) or (.=0 and ${P15a}=16)</t>
  </si>
  <si>
    <t>${A5} = '1' and ${A6}!= '0' and ${A8}&gt; '5'</t>
  </si>
  <si>
    <t>${A5} = '1' and ${A6}!= '0' and(${A10a}+${A10b}+${A10c}+${A10d}+${A10e}+${A10f}+${A10g}&gt;0)</t>
  </si>
  <si>
    <t>label::Siswati</t>
  </si>
  <si>
    <t>constraint_message::Siswati</t>
  </si>
  <si>
    <t>hint::Siswati</t>
  </si>
  <si>
    <t>required_message::Siswati</t>
  </si>
  <si>
    <t>media::image::Siswati</t>
  </si>
  <si>
    <t>Eswatini STEPS 1-2 v3.2</t>
  </si>
  <si>
    <t>A1. Have you ever consumed any alcohol such as beer (sibebe), wine, spirits or [add other local examples]?</t>
  </si>
  <si>
    <t>Tfwebula QR Code yemuntfu lotawungenela lucwaningo</t>
  </si>
  <si>
    <t>Uma ungakhoni kutfwebula QR code, yifake ngekuyifacata bukhoma ngentasi.</t>
  </si>
  <si>
    <t>Facata bukhoma QR code leyakhiwe tinombolo letine 8 tinhlavu.
(You can enter "99999999" for training purposes only)</t>
  </si>
  <si>
    <t>Indzawo</t>
  </si>
  <si>
    <t>Ligama Lesifundza</t>
  </si>
  <si>
    <t>Ligama LeNkhundla</t>
  </si>
  <si>
    <t>Ligama Lendzawo</t>
  </si>
  <si>
    <t>Lokunye</t>
  </si>
  <si>
    <t>I3. Inombolo yalobutako yeID</t>
  </si>
  <si>
    <t>I5. Imvume itfolakele futsi ifundziwe</t>
  </si>
  <si>
    <t>I6. Lulwimi lwekubuta imibuto</t>
  </si>
  <si>
    <t>I8. Sibongo</t>
  </si>
  <si>
    <t>I9. Libito</t>
  </si>
  <si>
    <t>I10. Inombolo yelucingo uma ikhona</t>
  </si>
  <si>
    <t>Angeke ibenetinhlavu letingasito tinombolo.</t>
  </si>
  <si>
    <t>Imininingwane Yemuntfu</t>
  </si>
  <si>
    <t>C1. Bulili</t>
  </si>
  <si>
    <t>Buka kuphela, ungabuti.</t>
  </si>
  <si>
    <t>Lusuku lwekutalwa</t>
  </si>
  <si>
    <t>C2: Watalwa nini?</t>
  </si>
  <si>
    <t>Lusuku</t>
  </si>
  <si>
    <t>Inyanga</t>
  </si>
  <si>
    <t>Umnyaka</t>
  </si>
  <si>
    <t>Khetsa "Awati" kuto tonkhe tindzima uma lusuku lwekutalwa loluphelele angalati.</t>
  </si>
  <si>
    <t>Ngeke ufake incenye yelusuku lwekutalwa. Khetsa "Awati" kuto tonkhe tindzima uma lusuku lwekutalwa loluphelele angalati.</t>
  </si>
  <si>
    <t>C3. Uneminyaka lemingakhi?</t>
  </si>
  <si>
    <t>Umnyaka awube sekhatsi neminyaka levumelekile kutsi ingenele lolucwaningo.</t>
  </si>
  <si>
    <t>C4. Seyiyonkhe mingakhi iminyaka loyichitsile eskolweni (Ngaphandle kwenkhulisa)?</t>
  </si>
  <si>
    <t>Faka inombolo lesemkhatsini walengu 0 na 30.</t>
  </si>
  <si>
    <t>Faka '77' uma ungayati iminyaka.</t>
  </si>
  <si>
    <t>C5. Nguliphi libanga lemfundvo loyicedzile?</t>
  </si>
  <si>
    <t>C6. Itsini imvelaphi yakho?/Noma wekudzabuka kuphi?</t>
  </si>
  <si>
    <t>C7. Ushadile/Noma sewutsetse yini?</t>
  </si>
  <si>
    <t>C8. Nguyiphi yaletindlela lechaza simo semsebenti wakho kuletinyanga letilishumi natimbili letengcile</t>
  </si>
  <si>
    <t>C9. Bangakhi bantfu labaneminyaka lengetulu kwa 18, lokufaka nawe ekhatsi, labahlala lakhaya?</t>
  </si>
  <si>
    <t>Inombolo yebantfu labangetulu kwa 18 weminyaka ngeke ibeyincane kune nombolo yebantfu lababhaliswe kulabakhetfwelwe kungenela lucwaningo noma inombolo lengetulu kwa 30.</t>
  </si>
  <si>
    <t>Faka '77' uma ungati inombolo yebantfu noma '88' uma walile kusho inombolo yebantfu.</t>
  </si>
  <si>
    <t>Kusebentisa Lugwayi</t>
  </si>
  <si>
    <t xml:space="preserve">Nyalo ngitakubuta imibuto lephetselene nekusebentisa Lugwayi </t>
  </si>
  <si>
    <t>T1. Uyalubhema yini lugwayi noma uyakusebentisa yini lokwakhiwe ngalo njenga bosikilidi, sigazu noma lipipi?</t>
  </si>
  <si>
    <t>T2. Ubhema onkhe emalanga yini?</t>
  </si>
  <si>
    <t>T3. Bowumdzala kangakanani uma ucala kubhema?</t>
  </si>
  <si>
    <t xml:space="preserve">Umnyaka kumele ucale kule 8 iphidze ingengci eminyakeni lebekelwe kugcina kwalabo labadzala lekumele babeyincenye yalolucwaningo. </t>
  </si>
  <si>
    <t>Faka '77' uma angati lobutwako.</t>
  </si>
  <si>
    <t>T4. Usakhumbula kutsi beku kunini?</t>
  </si>
  <si>
    <t>Shiya kuvulekile uma angati: Nomake, timphendvulo tibesemkhatsini wa 1 phindze iminyaka yalophendvulako (-4 weminyaka) Eminyakeni yakhe, 1 kuya 11 nakutinyanga, noma 1 kuya ku 30 nakumaviki.</t>
  </si>
  <si>
    <t xml:space="preserve">Khetsa kutsi timphendvulo tibe ngeminyaka, tinyanga, noma emaviki, noma ukhetse angati uma lophendvulako atsi akati. </t>
  </si>
  <si>
    <t>T5aw. Ngekwesilinganiso, bangakhi bosikilidi lobatsengile/labakhicitiwe lobabhemako ngeliviki?</t>
  </si>
  <si>
    <t>T5c. Ngekwesilinganiso, lingakhi Lipipi lelinelugwayi lolibhemako ngelilanga?</t>
  </si>
  <si>
    <t>T5cw. Ngekwesilinganiso, lingakhi Lipipi lelinelugwayi lolibhemako ngeliviki?</t>
  </si>
  <si>
    <t>T5d. Ngekwesilinganiso, bangakhi boSikilidi, cheroots, cigarillos lobabhemako ngelilanga?</t>
  </si>
  <si>
    <t>T5dw. Ngekwesilinganiso, bangakhi boSikilidi, cheroots, cigarillos lobabhemako ngeliviki?</t>
  </si>
  <si>
    <t>T5a. Ngekwesilinganiso, bangakhi boSikilidi lobatsengile/labakhicitiwe lobabhemako ngelilanga?</t>
  </si>
  <si>
    <t>T5b. Ngekwesilinganiso, bangakhi boSikilidi labagociwe lobabhemako ngelilanga?</t>
  </si>
  <si>
    <t>T5bw. Ngekwesilinganiso, bangakhi boSikilidi labagociwe lobabhemako ngeliviki?</t>
  </si>
  <si>
    <t>T5e. Ngekwesilinganiso, bangakhi ngenombolo yaboShisha lobabhemako ngelilanga?</t>
  </si>
  <si>
    <t>T5ew. Ngekwesilinganiso, bangakhi ngenombolo yaboShisha lobabhemako ngeliviki?</t>
  </si>
  <si>
    <t xml:space="preserve">T5f. Ngekwesilinganiso, kungakhi lokunye lokwakhiwe ngelugwayi lokubhemako ngelilanga? </t>
  </si>
  <si>
    <t xml:space="preserve">T5fw. Ngekwesilinganiso, kungakhi lokunye lokwakhiwe ngelugwayi lokubhemako ngeliviki? </t>
  </si>
  <si>
    <t>T5other. Shano Lokunye lokulugwayi lokubhemako.</t>
  </si>
  <si>
    <t xml:space="preserve">T6. Kuletinyanga letilishumi namibili, uke wetama yini kuyekela kubhema? </t>
  </si>
  <si>
    <t>T7. Uma uya kadokotela  noma esisebentini setemphilo kuletinyanga letilishumi natimbili letengcile, welulekwa yini ngekuyekela kubhema?</t>
  </si>
  <si>
    <t>T8. Kulesikhatsi lesengcile, uke wakubhema yini lokwakhiwe ngelugwayi?</t>
  </si>
  <si>
    <t>T9. Kulesikhatsi lesengcile, uke wabhema yini onkhe emalanga ?</t>
  </si>
  <si>
    <t>T10. Bowumdzala kangakanani uma uyekela kubhema lugwayi?</t>
  </si>
  <si>
    <t>T11. Sowunesikhatsi lesingakanani uyekele kubhema?</t>
  </si>
  <si>
    <t>Shiya kuvulekile uma angati; Nomake, timphendvulo tibesemkhatsini wa 1 na 61 nakuminyaka, 1 kuya ku 11 nakutinyanga, noma 1 kuya ku 30 nakumaviki.</t>
  </si>
  <si>
    <t xml:space="preserve">T12. Uyalubhema yini lugwayi lolungabhunyi [Lwemakhala, loluhlafunwako,]? </t>
  </si>
  <si>
    <t xml:space="preserve">T13. Lugwayi lolungabhunyi ulusebentisa onkhe emalanga yini? </t>
  </si>
  <si>
    <t xml:space="preserve">T14a. Ngekwesilinganiso, ngelilanga usisebentisa kangakhi Sinefu, ngemlomo? </t>
  </si>
  <si>
    <t xml:space="preserve">T14aw. Ngekwesilinganiso, ngeliviki usisebentisa kangakhi Sinefu, ngemlomo? </t>
  </si>
  <si>
    <t xml:space="preserve">T14b. Ngekwesilinganiso, ngelilanga usisebentisa kangakhi Sinefu, ngelikhala? </t>
  </si>
  <si>
    <t xml:space="preserve">T14bw. Ngekwesilinganiso, ngeliviki usisebentisa kangakhi Sinefu, ngelikhala? </t>
  </si>
  <si>
    <t xml:space="preserve">T14c. Ngekwesilinganiso, ngelilanga ulusebentisa kangakhi lugwayi loluhlafunwako? </t>
  </si>
  <si>
    <t xml:space="preserve">T14cw. Ngekwesilinganiso, ngeliviki ulusebentisa kangakhi lugwayi loluhlafunwako? </t>
  </si>
  <si>
    <t>T14d. Ngekwesilinganiso, ngelilanga uyisebentisa kangakhi iBetel noma iQuid?</t>
  </si>
  <si>
    <t>T14dw. Ngekwesilinganiso, ngeliviki uyisebentisa kangakhi iBetel noma iQuid?</t>
  </si>
  <si>
    <t xml:space="preserve">T14e. Ngekwesilinganiso, ngelilanga ulusebentisa kangakhi lolunye nje luhlobo lwelugwayi lolungabhunyi? </t>
  </si>
  <si>
    <t xml:space="preserve">T14ew. Ngekwesilinganiso, ngeliviki ulusebentisa kangakhi lolunye nje luhlobo lwelugwayi lolungabhunyi? </t>
  </si>
  <si>
    <t xml:space="preserve">T14other. Shano lolunye luhlobo nje lwelugwayi lolungabhunyi lolusebentisako. </t>
  </si>
  <si>
    <t>T15. Kulesikhatsi lesengcile uke walusebentisa yini ligwayi lolufana nalolu;  lwemakhala , loluhlafunwako?</t>
  </si>
  <si>
    <t>T16. Kulesikhatsi lesengcile uke walusebentisa  yini lugwayi fana ne lwemakhala, loluhlafunwako onkhe emalanga ?</t>
  </si>
  <si>
    <t>T17. Kulamalanga langemashumi lamatsatfu, ukhona yini lobeka bhema ekhaya?</t>
  </si>
  <si>
    <t>T18. Kulamalanga langemashumi lamatsatfu, kukhona yini loke wabhema endzaweni levalekile emsebentini (ngekhatsi kwesakhiwo, emsebentini noma ehhovisi)?</t>
  </si>
  <si>
    <t xml:space="preserve">Inombolo kumele ibesemkhatsini wa 0 na 50. </t>
  </si>
  <si>
    <t xml:space="preserve">Inombolo kumele ibe semkhatsini was 0 na 350. </t>
  </si>
  <si>
    <t>Faka '77' nangabe akati NOMA faka '0' uma lophendvulako angasebentisi Sinefu, ngemlomo, ngelilanga.</t>
  </si>
  <si>
    <t>Faka '777' nangabe akati NOMA faka '0'uma lophendvulako angasebentisi Sinefu, ngemlomo, ngeliviki.</t>
  </si>
  <si>
    <t>Faka '77' nangabe akati NOMA faka '0' uma lophendvulako angasebentisi Sinefu, ngelikhala, ngelilanga.</t>
  </si>
  <si>
    <t>Faka '777' nangabe akati NOMA faka '0'uma lophendvulako angasebentisi Sinefu, ngelikhala, ngeliviki.</t>
  </si>
  <si>
    <t>Faka '77' nangabe akati NOMA faka '0' uma lophendvulako angasebentisi lugwayi loluhlafunwako, ngelilanga.</t>
  </si>
  <si>
    <t>Faka '777' nangabe akati NOMA faka '0'uma lophendvulako angasebentisi lugwayi loluhlafunwako, ngeliviki.</t>
  </si>
  <si>
    <t>Faka '77' nangabe akati NOMA faka '0' uma lophendvulako angasebentisi iBetel noma iQuid, ngelilanga.</t>
  </si>
  <si>
    <t>Faka '777' nangabe akati NOMA faka '0'uma lophendvulako angasebentisi iBetel noma iQuid, ngeliviki.</t>
  </si>
  <si>
    <t>Faka '77' nangabe akati NOMA faka '0' uma lophendvulako angalusebentisi lolunye nje luhlobo lelugwayi lolungabhunyi, ngelilanga.</t>
  </si>
  <si>
    <t>Faka '777' nangabe akati NOMA faka '0' uma lophendvulako angalusebentisi lolunye nje luhlobo lelugwayi lolungabhunyi, ngeliviki.</t>
  </si>
  <si>
    <t>Kunatsa Tjwala</t>
  </si>
  <si>
    <t xml:space="preserve">Lemibuto lelandzelako imayelana nekunatsa tjwala </t>
  </si>
  <si>
    <t>A1. Uke wabunatsa yini tjwala njenge, bhiya, liwayini, lobushisako?</t>
  </si>
  <si>
    <t>A2. Uke wabunatsa yini tjwala kuletinyanga letilishumi natimbili?</t>
  </si>
  <si>
    <t>A3. Sowubuyekele yini tjwala  ngenca yetizatfu letiphatselene nemphilo,noma ngekwelulekwa ngudokotela noma sisebenti setemphilo</t>
  </si>
  <si>
    <t>A4. Kuletinyanga letilishumi natimbili,  uke wanatsa kangakhi tjwala lobulingene iyuthi leyejwayelekile?</t>
  </si>
  <si>
    <t>A5. Uke wabunatsa yini tjwala kulamalanga langemashumi lamatsatfu lengcile?</t>
  </si>
  <si>
    <t xml:space="preserve">A6. Kulamalanga langemashumi lamatsatfu lengcile, kukangakhi unatsa  tjwala kanye lobulingene iyunithi leyejwayelekile? </t>
  </si>
  <si>
    <t>A7. Kulamalanga langemashumi lamatsatfu lengcile, uma unatsa tjwala, kukangakhi i unatsa ngalokulingene iyunithi leyejwayelekile ngesikhatsi sinye?</t>
  </si>
  <si>
    <t xml:space="preserve">A8. Kulamalanga langemashumi lamatsatfu lengcile, kukangakhi unatsa  ngalokulingene iyunithi leyejwayelekile uma sewubala tonkhe tinhlobo tetjwala? </t>
  </si>
  <si>
    <t xml:space="preserve">A9. Kulamalanga langemashumi lamatsatfu, kukangakhi unatsa ngalokulingene iyunithi leyejwayelekile yetinatfo letisitfupha ngasikhatsi sinye? </t>
  </si>
  <si>
    <t>Evikini lelengcile</t>
  </si>
  <si>
    <t xml:space="preserve">A10: Kulamalanga lasikhombisa lengcile, kukangakhi unatsa ngalokulingene iyunithi leyejwayelekile ngelilanga lilinye? </t>
  </si>
  <si>
    <t>Umsombuluko</t>
  </si>
  <si>
    <t>Lesibili</t>
  </si>
  <si>
    <t>Lesitsatfu</t>
  </si>
  <si>
    <t>Lesine</t>
  </si>
  <si>
    <t>Lesihlanu</t>
  </si>
  <si>
    <t>Umgcibelo</t>
  </si>
  <si>
    <t>Lisontfo</t>
  </si>
  <si>
    <t xml:space="preserve">Inombolo kumele ibe semkhatsini wa 0 na 50.  </t>
  </si>
  <si>
    <t xml:space="preserve">Inombolo kumele ibe semkhatsini wa 1 na 50.  </t>
  </si>
  <si>
    <t>Faka '77' uma angati.</t>
  </si>
  <si>
    <t>Faka '0' uma lombutako angakanatsi elangeni tsite.  
Faka '77' uma angati.</t>
  </si>
  <si>
    <t xml:space="preserve">Faka '0' uma lombutako angakanatsi noma nguluphi luhlobo lwetjwala kulolubutiwe.  
Faka '77' uma angati. </t>
  </si>
  <si>
    <t xml:space="preserve">Faka imphendvulo kulolonkhe luhlobo lwetjwala. </t>
  </si>
  <si>
    <t xml:space="preserve">Faka imphendvulo kuwo onkhe emalanga eliviki. </t>
  </si>
  <si>
    <t>Sengikubutile  ngendlela yekunatsa tjwala kulamalanga lasikhombisa lengcile. Lemibuto beyiphatselene nekunatsa tjwala nje, lemibuto lelandzelako imayelana nekunatsa tjwala lobuphiswe emakhaya nalobo lobutsengwe kulamanye emave nalobo lobungakentelwa kunatfwa nalobute intsela yentsengo. Cabanga ngaletinhlobo tetjwala uma uphendvula lemibuto lelandzelako.</t>
  </si>
  <si>
    <t xml:space="preserve">A11. Kulamalanga lasikhombisa lengcile, uke wabunatsa tjwala lobuphiswe ekhaya , lobutsengwe kulelinye live, lobungaka tsengelwa kunatfwa nalobungakhokhelwa intsela yentsengo? </t>
  </si>
  <si>
    <t>Tjwala lobungakabhalwa emabhukwini</t>
  </si>
  <si>
    <t xml:space="preserve">A12. Ngekwesilinganiso, kuletinhlobo  letilandzelako ubunatse kangakhi tjwala lobulingene iyunithi leyejwayelekile kulamalanga lasikhombisa lengcile? </t>
  </si>
  <si>
    <t>Tjwala lobuphiswe ekhaya, njenge.mankanjane, sicakacaka</t>
  </si>
  <si>
    <t>Tjwala lobuphiswe ekhaya noma liwayini njengemcombotsi, emaganu, lifruthi, sinkhwa, liphopho</t>
  </si>
  <si>
    <t>Tjwala lobutsengwe kulelinye live Lisotja, emaphakethe</t>
  </si>
  <si>
    <t>Tjwala lobungakatsengelwa kunatsa, njenge tjwala lobusemitsini nase mitsini yekushefa</t>
  </si>
  <si>
    <t>Lobunye tjwala lobungakhokelwa intsela yentsengo eveni</t>
  </si>
  <si>
    <t xml:space="preserve">A13. Kuletinyanga letishumi natimbili letengcile, kukangakhi utikhandza ungakhoni kuyekela kunatsa uma sowucalile? </t>
  </si>
  <si>
    <t xml:space="preserve">A14. Kuletinyanga letishumi natimbili letengcile kukangakhi utikhandza ungakhoni kwenta lofanele ukwente ngenca yekunatsa tjwala? </t>
  </si>
  <si>
    <t xml:space="preserve">A15. Kuletinyanga letishumi natimbili letengcile, kukangakhi ufuna kucala ngekunatsa tjwala ekuseni kuze ubuye esimeni sakho  ngemuva kwekunatsa kakhulu? Kuphatfwa libhabhalazi? </t>
  </si>
  <si>
    <t xml:space="preserve">A16. Kuletinyanga letishumi natimbili letengcile, uke wabanato yini tinkinga nemndeni wakho noma tinkinga nalotsandzana naye ngenca yekunatsa tjwala  kwalomunye? </t>
  </si>
  <si>
    <t>Indlela Lodla Ngayo/Kudla</t>
  </si>
  <si>
    <t>Lemibuto lelandzelako imayelana netitselo netibhidvo lovamisa kutidla. Nginelikhadi lelikhomba tibonelo letitselo netibhidvo. Sitfombe sisinye simele linani longalidla. Usaphendvula lemibuto  cabanga liviki lelitsite emnyakeni lophelile.</t>
  </si>
  <si>
    <t>D1. Ngeliviki nje, titselo utidla emalanga lamangakhi?</t>
  </si>
  <si>
    <t xml:space="preserve">D2. Tingakhi titselo lotidlako ngelilanga?  </t>
  </si>
  <si>
    <t xml:space="preserve">D3. Ngeliviki nje mangakhi emalanga udla tibhidvo? </t>
  </si>
  <si>
    <t xml:space="preserve">D4. Udla tibhidvo letingakanani ngelilanga lilinye?  </t>
  </si>
  <si>
    <t>Inombolo yemalanga evikini kumele ibe semkhatsini wa 0 na 7.</t>
  </si>
  <si>
    <t xml:space="preserve">Faka '77'  uma angati. </t>
  </si>
  <si>
    <t xml:space="preserve">Inombolo yetikali tekudla titselo ngelilanga atibe semkhatsini wa 1 na 20. </t>
  </si>
  <si>
    <t xml:space="preserve">Inombolo yetikali tekudla tibhidvo ngelilanga atibe semkhatsini wa 1 na 20. </t>
  </si>
  <si>
    <t>Kulemibuto lelandzelako, sitsandza kwati kabanti  ngeluswayi lolusebentisile ekudleni kwakho. Loluswayi lufaka ekhatsi  luswayi lolutayelekile, luswayi lwaselwandle, luswayi lolune ayodini, sitokhi nema sosi laneluswayi (sebentisa likhadi). Lemibuto lelandzelako imayelana nekwengeta luswayi ekudleni kwakho ungakakudli, nekutsi kudla ukulungisa njani ekhaya kakho, kudla lokutsenga sekuneluswayi lolwengetiwe, njenge [polony, ham, russians)], nemibuto lemayelana nekusebentisa luswayi ngalokusezingeni lelikahle. Phendvula lemibuto noma ngabe ulusentisa kancane luswayi ekudleni kwakho.</t>
  </si>
  <si>
    <t>Luswayi kulokudlako</t>
  </si>
  <si>
    <t xml:space="preserve">D5. Ulwengeta kangakhi luswayi noma isosi leneluswayi ekudleni ungakakudli noma uma usakudla? </t>
  </si>
  <si>
    <t xml:space="preserve">D6. Ulwengeta kangakhi luswayi noma isosi leneluswayi ekudleni uma ukupheka ekhaya kakho? </t>
  </si>
  <si>
    <t>D7. Kukangakhi udla kudla lokutsengiwe lokuneluswayi lolunengi?  Utsenga kudla lokuneluswayi lolunengi, ngisho kudla lokushintjiwe esimeni sako semvelo, njengemafohlofohlo, kudla lokugcinwe etikoteleni nase mabhodleleni lokuneluswayi  kudla lokuneluswayi lokuphekwe  etitolo, shizi, naletinye tinyama letimavosi nema lashiya</t>
  </si>
  <si>
    <t xml:space="preserve">D8. Ucabanga kutsi udla luswayi noma isosi leneluswayi lengakanani? </t>
  </si>
  <si>
    <t xml:space="preserve">D9. Kumcoka kangakanani kunciphisa luswayi ekudleni kwakho? </t>
  </si>
  <si>
    <t xml:space="preserve">D10. Ucabanga kutsi luswayi lolunengi noma isosi leneluswayi lolunengi ibanga inkinga emphilweni yakho? </t>
  </si>
  <si>
    <t>Kulawula Luswayi</t>
  </si>
  <si>
    <t xml:space="preserve">D11. Uyakwenta yini lokulokulandzelako njalo nje kugcina lizinga lelilingene leluswayi ekudleni kwakho? </t>
  </si>
  <si>
    <t>Kunciphisa kudla lokukhicitiwe</t>
  </si>
  <si>
    <t>Kubuka kutsi  luswayi  lungakanani ekudleni /ephaketheni lekudla lolubhaliwe</t>
  </si>
  <si>
    <t>Kutsenga luswayi/lokunye lokungamela luswayi</t>
  </si>
  <si>
    <t xml:space="preserve">Kusebentisa tinswayi letitsite/tipayisi uma upheka </t>
  </si>
  <si>
    <t xml:space="preserve">Kucwaya kudla lokungakaphekwa ekhaya </t>
  </si>
  <si>
    <t xml:space="preserve">Kwenta letinye tintfo  kugcina luswayi lolulingene ekudleni kwakho </t>
  </si>
  <si>
    <t>D11other. Shano letinye tintfo lotentako kugcina luswayi lolulingene ekudleni kwakho:</t>
  </si>
  <si>
    <t>Faka imphendvulo kuyo yonkhe imibuto levelile.</t>
  </si>
  <si>
    <t>Copha emaGPS coordinates</t>
  </si>
  <si>
    <t>Kulula kucopha emaGPS coordinates nawume ngaphandle ebaleni.</t>
  </si>
  <si>
    <t>Akacopheki ema GPS coordinates. Cela uzame futsi.</t>
  </si>
  <si>
    <t>Kushukumisa Umtimba</t>
  </si>
  <si>
    <t>Lemibuto lelandzelako imayelana nesikhatsi losichitsako uma wenta  tinhlobo letehlukene tekushukumisa umtimba ngeliviki. Phendvula lemibuto noma ngabe ucabanga kutsi ungumuntfu longawushukumisi umtimba. 
Cale ucabange ngesikhatsi losichitsako wenta umsebenti lotsite.  Cabanga umsebenti njenga loko lokufanele ukwente nje msebenti lowuholelako nalongawuholeli, kufundza, kwenta umsebenti wasekhaya, kuvuna, kudvweba timfishi noma kutingela, kufunaumsebenti.. ].   Kuphendvula lemibuto lelandzelako ‘kushukuma kakhulu” kusho tintfo letidzinga kushukumisa umtimba kakhulu kuze kube nekuphefumula  nekushaya kwenhlitiyo kakhulu, ‘ kushukuma lokulingene’ kusho kushukumisa umtimba ngendlela ledzinga kushukumisa umtimba ngalokulingene lokungabanga kuphefumula nekusahya kwenhlitiyo ngalokulingene.</t>
  </si>
  <si>
    <t xml:space="preserve">P1. Ngabe umsebenti wakho udzinga , kushukuma lokwenta uphefumule noma kushaye inhlitiyo kakhulu/kamatima , njenge, [kuphakamisa tintfo letesindza kakhulu, umsebenti wekugubha nekwakha]? </t>
  </si>
  <si>
    <t xml:space="preserve">P2. Ngeliviki nje, mangakhi emalanga lapho wenta imisebenti leshukumisa umtimba kakhulu? </t>
  </si>
  <si>
    <t>Inombolo yemalanga kumele ibesemkhatsini wa 1 na 7.</t>
  </si>
  <si>
    <t xml:space="preserve">P3a. Singakanani sikhatsi losichitsako wenta umsebenti loshukumisa umtimba kakhulu ngelilanga? </t>
  </si>
  <si>
    <t>Emahora</t>
  </si>
  <si>
    <t>Imizuzu</t>
  </si>
  <si>
    <t>Faka tikhatsi etikhaleni totimbili.  
Sikhatsi akukameli sive ngetulu kwemahora langu 16. 
Faka '77' kuto totimbili tikhala uma angati lombutako.</t>
  </si>
  <si>
    <t xml:space="preserve">P5. Ngeliviki, mangakhi emalanga lapho wenta umsebenti loshukumisa umtimba ngalokulingene umfutfo losemkhatsini njengemsebenti wakho? </t>
  </si>
  <si>
    <t xml:space="preserve">P4. Ngabe umsebenti wakho ungulowo lodzinga ushukumise umtimba ngalokulingene umfutfo losemkhatsini, lobanga kuphefumula noma kushaya kwenhlitiyo lokulingene njenge kuhamba usheshise  [noma kutsatsa imitfwallo lelula]?  </t>
  </si>
  <si>
    <t xml:space="preserve">P6. Uchitsa sikhatsi lesingakanani wenta umsebenti lodzinga kushukumisa umtimba ngalokulingene umfutfo losemkhatsini ngelilanga nje? </t>
  </si>
  <si>
    <t xml:space="preserve">Lemibuto lelandzelako ayifaki ekhatsi kushukumisa umtimba emsebentini losoyibalile.
Nyalo ngitokubuta ngendlela lovame kuyihamba kusuka kuyinye indzawo kuya kulenye.  Njenge, kuyotsenga, kuya emakethe, nekuya esontfweni/kuyothandaza. </t>
  </si>
  <si>
    <t xml:space="preserve">P7. Uyahamba noma usebentisa libhayisikili (lelishovwako) kuya nekubuya etindzaweni? </t>
  </si>
  <si>
    <t xml:space="preserve">P8. Ngeliviki, mangakhi emalanga lowahambako sikhatsi lesiyimizuzu lelishumi ungakaphumuli kufika kuleto tindzawo? </t>
  </si>
  <si>
    <t xml:space="preserve">P9. Singakanani sikhatsi losihambako noma losichitsako ushova libhayisikili  ngelilanga? </t>
  </si>
  <si>
    <t xml:space="preserve">P10. Ngabe uyaye uwushukumise yini umtimba kakhulu, noma ushukumisela kutichaza lapho uze ube nekuphefumula kakhulu noma kushaya kwenhlitiyo kakhulu  njenge  [kugijima noma kudlala ibhola )? </t>
  </si>
  <si>
    <t xml:space="preserve">P11. Ngeliviki, mangakhi emalanga lapho –ushukumisa umtimba kakhulu, njenge temidlalo, kutivocavoca noma ushukumisela kutichaza? </t>
  </si>
  <si>
    <t xml:space="preserve">P12. Singakanani sikhatsi losichitsako  uma ushukumisa umtimba kakhulu njenge temidlalo, kutivocavoca noma ushukumisela kutichaza? </t>
  </si>
  <si>
    <t xml:space="preserve">P13. Ngabe uyakwenta yini kushumisa umtimba ngendlela lekahle , noma kutijabulisa lokungabanga kukhula kancane kwelizinga lekuphefumula noma kushaya kwenhlitiyo njengekuhamba kakhulu, [kushova libhayisikili, kubhukusha, imizuzu lelishumi ungaphumuli? </t>
  </si>
  <si>
    <t xml:space="preserve">P14. Ngeliviki, mangakhi emalanga lowasebentisako – kutemidlalo ngendlela leshukumisa umtimba ngemfutfo losemkhatsini, njenge temidlalo, kutivocavoca noma ushukumisela kutichaza? </t>
  </si>
  <si>
    <t>P15. Singanani sikhatsi losichitsako uma wenta temidlalo ngemfutfo losemkhatsini, kutivocavoca noma ushukumisela kutichaza ngelilanga?</t>
  </si>
  <si>
    <t xml:space="preserve">Lemibuto lelandzelako imayelana nekuhlala noma kuphumula emsebentini, ekhaya, kuya nekubuya etindzaweni, noma nebangani  nichitse sikhatsi nihleti, nihamba ngemoto,ibhasi, sitimela, kufundza, kudlala emakhadi noma kubukela titfombe tabomabona kudze, ayifaki ekhatsi sikhatsi losichitsa ulele. </t>
  </si>
  <si>
    <t xml:space="preserve">P16. Singakanani sikhatsi lovamise kusichitsa uhleti noma uphumula ngelilanga? </t>
  </si>
  <si>
    <t>Umlandvo ngeHayihayi</t>
  </si>
  <si>
    <t xml:space="preserve">H1. Sisebenti setemphilo sike salihlola lizinga lekushaya kwenhlitiyo yakho? </t>
  </si>
  <si>
    <t>H2b. Bake bakutjela kwekucala ngaloku kuletinyanga letilishumi natimbili letendlulile?</t>
  </si>
  <si>
    <t>H3. Kulamaviki lamabili lengcile, ukewawanatsa emaphilisi  ehayihayi  lowaniketwe ngudokotela noma sisebenti semphilo?</t>
  </si>
  <si>
    <t>H4. Uke waya yini enyangeni ngendzaba yehayihayi?</t>
  </si>
  <si>
    <t>H5. Kulesikhatsi ngabe kukhona yini umutsi lowusebentisako lowutfole enyangeni  noma kulabo labatsengisa umutsiwesintfu wehayihayi?</t>
  </si>
  <si>
    <t>H6. Shukela wakho uke wahlolwa yini sisebenti setemphilo?</t>
  </si>
  <si>
    <t>Umlandvo ngesifo Sashukela</t>
  </si>
  <si>
    <t>H7a. Uke watjelwa yini  sisebenti setemphilo kutsi shukela wakho uphakeme noma unesifo sashukela?</t>
  </si>
  <si>
    <t>H7b. Bake bakutjela yini kwekucala kuletinyanga letilishumi natimbili letengcile ngaloku?</t>
  </si>
  <si>
    <t>H8. Kulamaviki lamabili lengcile, uke wanatsa yini imitsi yashukela loyiniketwe ngudokotela noma sisebenti setemphilo?</t>
  </si>
  <si>
    <t>H9. Kulesikhatsi uyamjovela yini shukela njengekusho kwa dokotela noma sisebenti setemphilo?</t>
  </si>
  <si>
    <t>H10. Uke waya yini enyangeni ngenca yesifo sashukela  noma ngekuphakama kwashukela?</t>
  </si>
  <si>
    <t>H11. Kulesikhatsi kukhona yini umutsi lowunatsako lowutfole enyangeni lowelapha sifo sashukela?</t>
  </si>
  <si>
    <t>Umlandvo ngemafutsa lamanengi emtimbeni</t>
  </si>
  <si>
    <t>H13a. Dokotela noma sisebenti setemphilo sike sakutjela yini kutsi linani lemafutsa emtimbeni wakho lisetulu?</t>
  </si>
  <si>
    <t>H13b. Uke wakutjela yini kwekucala kuletinyanga letilishumi natimbili letendlulile?</t>
  </si>
  <si>
    <t>H14. Kulamaviki lamabili lengcile, uke wanatsa  yini umutsi  wekwehlisa linani lemafutsa emtimbeni  lonikwe ngudokotela noma sisebenti setemphilo</t>
  </si>
  <si>
    <t>H15. Uke waya yini enyangeni ngendzaba yekwenyuka kwelinani lemafutsa emtimbeni?</t>
  </si>
  <si>
    <t>H16. Kulesikhatsi kukhona yini umutsi lowunatsako lowutfole enyangeni noma kulabatsengisa imitsi yesintfu yekwelapha kwenyuka kwemafutsa emtimbeni?</t>
  </si>
  <si>
    <t>Umlandvo ngesifo senhlitiyo</t>
  </si>
  <si>
    <t>H17. Uke waphatfwa yini sifo senhlitiyo, lihlaba esifubeni noma enhlitiyweni noma kufa kweluhlangotsi?</t>
  </si>
  <si>
    <t xml:space="preserve">H18. Uyawanatsa yini emaphilisi ekuvikela sifo senhlitiyo? (Asprin) </t>
  </si>
  <si>
    <t xml:space="preserve">H19. Uyawanatsa yini emaphilisi njalo kuvikela sifo senhlitiyo? (Lovastatin/Simvastatin/Atorvastatin ) </t>
  </si>
  <si>
    <t>Seluleko Ngekutiphatsa</t>
  </si>
  <si>
    <t>Ku nciphisa luswayi ekudleni kwakho</t>
  </si>
  <si>
    <t>Ku yekela kubhema noma ungacali kubhema</t>
  </si>
  <si>
    <t>Kudla  titselo tibe sihlanu noma tibhidvo njalo ngelilanga</t>
  </si>
  <si>
    <t>Ku nciphisa emafutsa ekudleni kwakho</t>
  </si>
  <si>
    <t>Ku cala  noma shukumisa umtimba kakhulu</t>
  </si>
  <si>
    <t>Ku gcina  sisindvo semtimba wakho sibengulesilingenge noma yehlisa sisindvo semtimba wakho</t>
  </si>
  <si>
    <t>Nciphisa kwekunatsa lokunashukela longetekile ekudleni kwakho</t>
  </si>
  <si>
    <t>Bomake - Kuhola umdlavuza wemlomo wesibeletfo</t>
  </si>
  <si>
    <t>CX1. Uke walwenta luhlolo lwesibeletfo kuhlola umdlavuza usebentisa yinye yaletindlela letingenhla lesetichaziwe?</t>
  </si>
  <si>
    <t xml:space="preserve">Ngabe lotokalwa uvumile yini kuba yincenye yeSigaba/Sinyatselo 2 (Kukala Umtimba)? </t>
  </si>
  <si>
    <t>M1. ID yalobutako</t>
  </si>
  <si>
    <t>M2. ID yemshina wekuhlola ihayihayi</t>
  </si>
  <si>
    <t>Umphumela 1</t>
  </si>
  <si>
    <t>Umphumela 2</t>
  </si>
  <si>
    <t>Umphumela 3</t>
  </si>
  <si>
    <t xml:space="preserve">M7. Kulamaviki lamabili lendlulile, uke welashelwa yini ihayihayi ngemutsi noma emaphilisi loniketwe ngudokotela noma sisebenti setemphilo? </t>
  </si>
  <si>
    <t>Inombolo yeID kumele ibe netinhlavu letitinombolo kuphela.</t>
  </si>
  <si>
    <t xml:space="preserve">Faka '888' kuto tonkhe tikhala uma lokumele akalwe alile. </t>
  </si>
  <si>
    <t xml:space="preserve">Systolic blood pressure kumele sibesemkhatsini wa 40 na 300mmHg. </t>
  </si>
  <si>
    <t>Diastolic blood pressure kumele ibesemkhatsini wa 30 na 200mmHg. Diastolic blood pressure ngeke ibe ngetulu kwe systolic blood pressure.</t>
  </si>
  <si>
    <t>Heart rate ngeke ibengephansi kwa 30bpm noma ngetulu kwa 200bpm. Faka '888' kutoyi 3 tikhala uma lokumele akalwe alile.</t>
  </si>
  <si>
    <t>M8. Utetfwele yini?</t>
  </si>
  <si>
    <t>M9. ID yalobutako</t>
  </si>
  <si>
    <t>M10a. ID yesikali sekuhlola budze</t>
  </si>
  <si>
    <t>M10b.  ID yesikali sekuhlolasisindvo semtimba</t>
  </si>
  <si>
    <t>M11. Budze (in centimetres)</t>
  </si>
  <si>
    <t>M12. Sisindvo semtimba (in kilograms)</t>
  </si>
  <si>
    <t>Inombolo yeID kumele ibe netinhlavu letitinombolo kuphela</t>
  </si>
  <si>
    <t>Budze kumele bubesemkhatsini wa 100 na 270cm.</t>
  </si>
  <si>
    <t>Sisindvo semtimba kumele sibe semkhatsini wa 20 na 350kg.</t>
  </si>
  <si>
    <t>M13.  ID yelibhandi lekukala lukhalo</t>
  </si>
  <si>
    <t>M14. Bukhulu belukhalo (in centimetres)</t>
  </si>
  <si>
    <t>M15. Bukhulu betingculu (in centimeters)</t>
  </si>
  <si>
    <t>Bukhulu betingculu bumele bube semkhatsini wa 45 na 300cm.</t>
  </si>
  <si>
    <t>Bukhulu belukhalo bumele bubesemkhatsini wa 30 na 200cm.</t>
  </si>
  <si>
    <t>Faka '888' kuto tonkhe tikhala uma lokumele akalwe alile. 
Faka '666' uma lokalwako anesisindvo lesikhulu kwengca lesikhonwa sikali.</t>
  </si>
  <si>
    <t>Siswati</t>
  </si>
  <si>
    <t>Region</t>
  </si>
  <si>
    <t>Inkhundla</t>
  </si>
  <si>
    <t>Enumeration Areas/Code</t>
  </si>
  <si>
    <t>Lemibuto lelandzelako ayifaki ekhatsi umsebenti wakho, nekuhamba kusuka kuyinye indzawo uye kulenye. Nyalo ngito kubuta ngetemidlalo, kuba nemtimba locinile nekutichaza</t>
  </si>
  <si>
    <t xml:space="preserve">H2a. Sisebenti setemphilo sikesakutjela kutsi unehayihayi yini? </t>
  </si>
  <si>
    <t xml:space="preserve">H12.Sisebenti setemphilo sike sahlola linani lemafutsa emtimbeni wakho? </t>
  </si>
  <si>
    <t xml:space="preserve">H20. Kuletinyanga letilishumi  natimbili, uke wavakashela dokotela noma sisebenti setemphilo? </t>
  </si>
  <si>
    <t xml:space="preserve">H20a. Kuletinyanga letilishumi  natimbili,  uke wavakashela dokotela noma sisebenti setemphilo welulekwa lokulandzelako? </t>
  </si>
  <si>
    <t>Lombuto lolandzelako umayelana nekuvikela umdlavuza wemlomo wesibeletfo. Kuhlola nekuvikela umdlavuza wemlomo wesibeletfo kungentiwa ngetindlela letinyenti, letifaka kuhlola umlomo wesibeletfo usebentisa i Acetic Acid/vinegar (VIA), pap smear and Human Papillomavirus (HPV) test. I-VIA kuhlolwa kwendzawo yemlomo wesibeletfo ngemuva kwekusetjentiswa kwe-acetic acid (nobe iviniga). Kuto totimbili letindlela tekuhlola iPap smear kanye ne-HPV, dokotela nobe sisebenti setemphilo sisula lingekhatsi lesikhumba sakho (i-swab), sitfunyelwe kuyopopolwa (laboratory). Kungenteka kutsi nawe uniketwe kutsi utisule ngalomutsi bese utfumela kuyopopolwa. Makupopolwa nge Pap smear kuhlolwa kutsi kute yini lokushintjile emlonyeni wesibeletfo, iHPV test  ihlola kutsi kute yini ligciwane le-HPV.</t>
  </si>
  <si>
    <t>swz_work_vigorous.PNG</t>
  </si>
  <si>
    <t>swz_work_moderate.PNG</t>
  </si>
  <si>
    <t>swz_leisure_vigorous.PNG</t>
  </si>
  <si>
    <t>swz_leisure_moderate.PNG</t>
  </si>
  <si>
    <t>notefat</t>
  </si>
  <si>
    <t>Lemibuto lelandzelako imayelana nemafutsa lovame kuwasebentisa uma upheka kudla ekhaya kakho, nekudla lokudlako lokungakaphekwa ekhaya</t>
  </si>
  <si>
    <t>The next questions ask about the oil or fat that is most often used for meal preparation in your household, and about meals that you eat outside a home.</t>
  </si>
  <si>
    <t>fat</t>
  </si>
  <si>
    <t>iso1</t>
  </si>
  <si>
    <t>option 1</t>
  </si>
  <si>
    <t>option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</si>
</sst>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color rgb="FF000000"/>
      <name val="Arial"/>
    </font>
    <font>
      <sz val="12"/>
      <color rgb="FF000000"/>
      <name val="Arial"/>
      <family val="2"/>
    </font>
    <font>
      <sz val="12"/>
      <name val="Arial"/>
      <family val="2"/>
    </font>
    <font>
      <sz val="10"/>
      <name val="Arial"/>
      <family val="2"/>
    </font>
    <font>
      <sz val="10"/>
      <color rgb="FF000000"/>
      <name val="Arial"/>
      <family val="2"/>
    </font>
    <font>
      <sz val="10"/>
      <name val="Arial"/>
      <family val="2"/>
    </font>
    <font>
      <sz val="10"/>
      <color rgb="FFFF0000"/>
      <name val="Arial"/>
      <family val="2"/>
    </font>
    <font>
      <sz val="10"/>
      <color rgb="FF7030A0"/>
      <name val="Arial"/>
      <family val="2"/>
    </font>
    <font>
      <u/>
      <sz val="10"/>
      <color theme="10"/>
      <name val="Arial"/>
      <family val="2"/>
    </font>
    <font>
      <u/>
      <sz val="10"/>
      <color theme="11"/>
      <name val="Arial"/>
      <family val="2"/>
    </font>
    <font>
      <sz val="10"/>
      <color theme="0"/>
      <name val="Arial"/>
      <family val="2"/>
    </font>
    <font>
      <sz val="12"/>
      <color rgb="FF000000"/>
      <name val="Arial"/>
      <family val="2"/>
    </font>
    <font>
      <sz val="12"/>
      <name val="Arial"/>
      <family val="2"/>
    </font>
    <font>
      <sz val="10"/>
      <color theme="1"/>
      <name val="Arial"/>
      <family val="2"/>
    </font>
    <font>
      <b/>
      <sz val="10"/>
      <name val="Arial"/>
      <family val="2"/>
    </font>
    <font>
      <b/>
      <sz val="10"/>
      <color rgb="FF000000"/>
      <name val="Arial"/>
      <family val="2"/>
    </font>
    <font>
      <sz val="10"/>
      <color rgb="FFC00000"/>
      <name val="Arial"/>
      <family val="2"/>
    </font>
    <font>
      <b/>
      <sz val="12"/>
      <color rgb="FF000000"/>
      <name val="Arial"/>
      <family val="2"/>
    </font>
    <font>
      <sz val="8"/>
      <name val="Arial"/>
      <family val="2"/>
    </font>
  </fonts>
  <fills count="23">
    <fill>
      <patternFill patternType="none"/>
    </fill>
    <fill>
      <patternFill patternType="gray125"/>
    </fill>
    <fill>
      <patternFill patternType="solid">
        <fgColor theme="4" tint="-0.249977111117893"/>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8" tint="0.59999389629810485"/>
        <bgColor rgb="FFD9EAD3"/>
      </patternFill>
    </fill>
    <fill>
      <patternFill patternType="solid">
        <fgColor theme="7" tint="0.59999389629810485"/>
        <bgColor indexed="64"/>
      </patternFill>
    </fill>
    <fill>
      <patternFill patternType="solid">
        <fgColor theme="7" tint="0.59999389629810485"/>
        <bgColor rgb="FFD9EAD3"/>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C5"/>
        <bgColor indexed="64"/>
      </patternFill>
    </fill>
    <fill>
      <patternFill patternType="solid">
        <fgColor rgb="FFCFF1F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6" tint="0.79998168889431442"/>
        <bgColor rgb="FFD9EAD3"/>
      </patternFill>
    </fill>
    <fill>
      <patternFill patternType="solid">
        <fgColor rgb="FFFFFF00"/>
        <bgColor indexed="64"/>
      </patternFill>
    </fill>
    <fill>
      <patternFill patternType="solid">
        <fgColor theme="0"/>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92D050"/>
        <bgColor indexed="64"/>
      </patternFill>
    </fill>
    <fill>
      <patternFill patternType="solid">
        <fgColor rgb="FFFFFF00"/>
        <bgColor rgb="FFD9EAD3"/>
      </patternFill>
    </fill>
    <fill>
      <patternFill patternType="solid">
        <fgColor rgb="FFFFFF00"/>
        <bgColor rgb="FF000000"/>
      </patternFill>
    </fill>
  </fills>
  <borders count="1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4" fillId="0" borderId="0"/>
  </cellStyleXfs>
  <cellXfs count="191">
    <xf numFmtId="0" fontId="0" fillId="0" borderId="0" xfId="0"/>
    <xf numFmtId="0" fontId="2" fillId="0" borderId="0" xfId="0" applyFont="1"/>
    <xf numFmtId="0" fontId="1" fillId="0" borderId="0" xfId="0" applyFont="1"/>
    <xf numFmtId="0" fontId="1" fillId="0" borderId="0" xfId="0" applyFont="1" applyAlignment="1">
      <alignment horizontal="left"/>
    </xf>
    <xf numFmtId="0" fontId="3" fillId="0" borderId="0" xfId="0" applyFont="1"/>
    <xf numFmtId="0" fontId="4" fillId="0" borderId="0" xfId="0" applyFont="1"/>
    <xf numFmtId="49" fontId="1" fillId="0" borderId="0" xfId="0" applyNumberFormat="1" applyFont="1" applyAlignment="1">
      <alignment horizontal="left"/>
    </xf>
    <xf numFmtId="0" fontId="0" fillId="0" borderId="0" xfId="0" applyAlignment="1">
      <alignment horizontal="left"/>
    </xf>
    <xf numFmtId="0" fontId="1" fillId="14" borderId="0" xfId="0" applyFont="1" applyFill="1"/>
    <xf numFmtId="0" fontId="0" fillId="14" borderId="0" xfId="0" applyFill="1" applyAlignment="1">
      <alignment horizontal="left"/>
    </xf>
    <xf numFmtId="0" fontId="11" fillId="0" borderId="0" xfId="0" applyFont="1"/>
    <xf numFmtId="0" fontId="11" fillId="3" borderId="0" xfId="0" applyFont="1" applyFill="1"/>
    <xf numFmtId="0" fontId="4" fillId="9" borderId="0" xfId="0" applyFont="1" applyFill="1" applyAlignment="1">
      <alignment wrapText="1"/>
    </xf>
    <xf numFmtId="0" fontId="5" fillId="0" borderId="0" xfId="0" applyFont="1"/>
    <xf numFmtId="0" fontId="5" fillId="12" borderId="0" xfId="0" applyFont="1" applyFill="1"/>
    <xf numFmtId="0" fontId="5" fillId="13" borderId="0" xfId="0" applyFont="1" applyFill="1"/>
    <xf numFmtId="0" fontId="5" fillId="10" borderId="0" xfId="0" applyFont="1" applyFill="1"/>
    <xf numFmtId="0" fontId="4" fillId="12" borderId="0" xfId="0" applyFont="1" applyFill="1" applyAlignment="1">
      <alignment wrapText="1"/>
    </xf>
    <xf numFmtId="0" fontId="16" fillId="4" borderId="0" xfId="0" applyFont="1" applyFill="1"/>
    <xf numFmtId="0" fontId="16" fillId="6" borderId="0" xfId="0" applyFont="1" applyFill="1"/>
    <xf numFmtId="0" fontId="16" fillId="7" borderId="0" xfId="0" applyFont="1" applyFill="1"/>
    <xf numFmtId="0" fontId="13" fillId="6" borderId="0" xfId="0" applyFont="1" applyFill="1"/>
    <xf numFmtId="0" fontId="16" fillId="8" borderId="0" xfId="0" applyFont="1" applyFill="1"/>
    <xf numFmtId="0" fontId="16" fillId="9" borderId="0" xfId="0" applyFont="1" applyFill="1"/>
    <xf numFmtId="0" fontId="16" fillId="9" borderId="0" xfId="0" applyFont="1" applyFill="1" applyAlignment="1">
      <alignment wrapText="1"/>
    </xf>
    <xf numFmtId="0" fontId="13" fillId="9" borderId="0" xfId="0" applyFont="1" applyFill="1"/>
    <xf numFmtId="0" fontId="16" fillId="11" borderId="0" xfId="0" applyFont="1" applyFill="1"/>
    <xf numFmtId="0" fontId="16" fillId="12" borderId="0" xfId="0" applyFont="1" applyFill="1"/>
    <xf numFmtId="0" fontId="16" fillId="10" borderId="0" xfId="0" applyFont="1" applyFill="1"/>
    <xf numFmtId="0" fontId="4" fillId="15" borderId="0" xfId="0" applyFont="1" applyFill="1"/>
    <xf numFmtId="0" fontId="4" fillId="5" borderId="0" xfId="0" applyFont="1" applyFill="1"/>
    <xf numFmtId="0" fontId="4" fillId="4" borderId="0" xfId="0" applyFont="1" applyFill="1"/>
    <xf numFmtId="0" fontId="4" fillId="7" borderId="0" xfId="0" applyFont="1" applyFill="1"/>
    <xf numFmtId="0" fontId="3" fillId="7" borderId="0" xfId="0" applyFont="1" applyFill="1"/>
    <xf numFmtId="0" fontId="4" fillId="6" borderId="0" xfId="0" applyFont="1" applyFill="1"/>
    <xf numFmtId="0" fontId="4" fillId="8" borderId="0" xfId="0" applyFont="1" applyFill="1"/>
    <xf numFmtId="0" fontId="4" fillId="9" borderId="0" xfId="0" applyFont="1" applyFill="1"/>
    <xf numFmtId="0" fontId="4" fillId="11" borderId="0" xfId="0" applyFont="1" applyFill="1"/>
    <xf numFmtId="0" fontId="3" fillId="12" borderId="0" xfId="0" applyFont="1" applyFill="1"/>
    <xf numFmtId="0" fontId="4" fillId="12" borderId="0" xfId="0" applyFont="1" applyFill="1"/>
    <xf numFmtId="0" fontId="3" fillId="13" borderId="0" xfId="0" applyFont="1" applyFill="1"/>
    <xf numFmtId="0" fontId="4" fillId="13" borderId="0" xfId="0" applyFont="1" applyFill="1"/>
    <xf numFmtId="0" fontId="3" fillId="10" borderId="0" xfId="0" applyFont="1" applyFill="1"/>
    <xf numFmtId="0" fontId="4" fillId="10" borderId="0" xfId="0" applyFont="1" applyFill="1"/>
    <xf numFmtId="0" fontId="4" fillId="4" borderId="1" xfId="0" applyFont="1" applyFill="1" applyBorder="1"/>
    <xf numFmtId="0" fontId="10" fillId="0" borderId="0" xfId="0" applyFont="1"/>
    <xf numFmtId="0" fontId="4" fillId="3" borderId="0" xfId="0" applyFont="1" applyFill="1"/>
    <xf numFmtId="0" fontId="5" fillId="8" borderId="0" xfId="0" applyFont="1" applyFill="1"/>
    <xf numFmtId="0" fontId="4" fillId="0" borderId="1" xfId="0" applyFont="1" applyBorder="1"/>
    <xf numFmtId="0" fontId="4" fillId="0" borderId="5" xfId="0" applyFont="1" applyBorder="1"/>
    <xf numFmtId="0" fontId="11" fillId="3" borderId="1" xfId="0" applyFont="1" applyFill="1" applyBorder="1" applyAlignment="1">
      <alignment wrapText="1"/>
    </xf>
    <xf numFmtId="0" fontId="4" fillId="8" borderId="1" xfId="0" applyFont="1" applyFill="1" applyBorder="1"/>
    <xf numFmtId="0" fontId="4" fillId="8" borderId="5" xfId="0" applyFont="1" applyFill="1" applyBorder="1"/>
    <xf numFmtId="0" fontId="4" fillId="15" borderId="1" xfId="0" applyFont="1" applyFill="1" applyBorder="1"/>
    <xf numFmtId="0" fontId="15" fillId="4" borderId="1" xfId="0" applyFont="1" applyFill="1" applyBorder="1"/>
    <xf numFmtId="0" fontId="4" fillId="4" borderId="5" xfId="0" applyFont="1" applyFill="1" applyBorder="1"/>
    <xf numFmtId="0" fontId="15" fillId="0" borderId="1" xfId="0" applyFont="1" applyBorder="1"/>
    <xf numFmtId="0" fontId="15" fillId="6" borderId="1" xfId="0" applyFont="1" applyFill="1" applyBorder="1"/>
    <xf numFmtId="0" fontId="4" fillId="6" borderId="5" xfId="0" applyFont="1" applyFill="1" applyBorder="1"/>
    <xf numFmtId="0" fontId="4" fillId="6" borderId="1" xfId="0" applyFont="1" applyFill="1" applyBorder="1"/>
    <xf numFmtId="0" fontId="15" fillId="8" borderId="1" xfId="0" applyFont="1" applyFill="1" applyBorder="1"/>
    <xf numFmtId="0" fontId="15" fillId="9" borderId="1" xfId="0" applyFont="1" applyFill="1" applyBorder="1"/>
    <xf numFmtId="0" fontId="4" fillId="9" borderId="5" xfId="0" applyFont="1" applyFill="1" applyBorder="1"/>
    <xf numFmtId="0" fontId="4" fillId="9" borderId="1" xfId="0" applyFont="1" applyFill="1" applyBorder="1"/>
    <xf numFmtId="0" fontId="3" fillId="9" borderId="1" xfId="0" applyFont="1" applyFill="1" applyBorder="1"/>
    <xf numFmtId="0" fontId="15" fillId="11" borderId="1" xfId="0" applyFont="1" applyFill="1" applyBorder="1"/>
    <xf numFmtId="0" fontId="4" fillId="11" borderId="5" xfId="0" applyFont="1" applyFill="1" applyBorder="1"/>
    <xf numFmtId="0" fontId="4" fillId="11" borderId="1" xfId="0" applyFont="1" applyFill="1" applyBorder="1"/>
    <xf numFmtId="0" fontId="5" fillId="0" borderId="1" xfId="0" applyFont="1" applyBorder="1"/>
    <xf numFmtId="0" fontId="14" fillId="12" borderId="1" xfId="0" applyFont="1" applyFill="1" applyBorder="1"/>
    <xf numFmtId="0" fontId="4" fillId="12" borderId="5" xfId="0" applyFont="1" applyFill="1" applyBorder="1"/>
    <xf numFmtId="0" fontId="3" fillId="12" borderId="1" xfId="0" applyFont="1" applyFill="1" applyBorder="1"/>
    <xf numFmtId="0" fontId="4" fillId="12" borderId="1" xfId="0" applyFont="1" applyFill="1" applyBorder="1"/>
    <xf numFmtId="0" fontId="14" fillId="13" borderId="1" xfId="0" applyFont="1" applyFill="1" applyBorder="1"/>
    <xf numFmtId="0" fontId="4" fillId="13" borderId="5" xfId="0" applyFont="1" applyFill="1" applyBorder="1"/>
    <xf numFmtId="0" fontId="3" fillId="13" borderId="1" xfId="0" applyFont="1" applyFill="1" applyBorder="1"/>
    <xf numFmtId="0" fontId="15" fillId="10" borderId="1" xfId="0" applyFont="1" applyFill="1" applyBorder="1"/>
    <xf numFmtId="0" fontId="4" fillId="10" borderId="5" xfId="0" applyFont="1" applyFill="1" applyBorder="1"/>
    <xf numFmtId="0" fontId="14" fillId="10" borderId="1" xfId="0" applyFont="1" applyFill="1" applyBorder="1"/>
    <xf numFmtId="0" fontId="3" fillId="10" borderId="1" xfId="0" applyFont="1" applyFill="1" applyBorder="1"/>
    <xf numFmtId="0" fontId="3" fillId="0" borderId="1" xfId="0" applyFont="1" applyBorder="1"/>
    <xf numFmtId="0" fontId="14" fillId="4" borderId="1" xfId="0" applyFont="1" applyFill="1" applyBorder="1"/>
    <xf numFmtId="0" fontId="3" fillId="16" borderId="1" xfId="0" applyFont="1" applyFill="1" applyBorder="1"/>
    <xf numFmtId="0" fontId="4" fillId="5" borderId="1" xfId="0" applyFont="1" applyFill="1" applyBorder="1"/>
    <xf numFmtId="0" fontId="4" fillId="7" borderId="1" xfId="0" applyFont="1" applyFill="1" applyBorder="1"/>
    <xf numFmtId="0" fontId="5" fillId="12" borderId="1" xfId="0" applyFont="1" applyFill="1" applyBorder="1"/>
    <xf numFmtId="0" fontId="5" fillId="13" borderId="1" xfId="0" applyFont="1" applyFill="1" applyBorder="1"/>
    <xf numFmtId="0" fontId="5" fillId="10" borderId="1" xfId="0" applyFont="1" applyFill="1" applyBorder="1"/>
    <xf numFmtId="0" fontId="3" fillId="15" borderId="1" xfId="0" applyFont="1" applyFill="1" applyBorder="1"/>
    <xf numFmtId="0" fontId="3" fillId="13" borderId="1" xfId="0" applyFont="1" applyFill="1" applyBorder="1" applyAlignment="1">
      <alignment wrapText="1"/>
    </xf>
    <xf numFmtId="0" fontId="10" fillId="19" borderId="2" xfId="0" applyFont="1" applyFill="1" applyBorder="1"/>
    <xf numFmtId="0" fontId="10" fillId="19" borderId="3" xfId="0" applyFont="1" applyFill="1" applyBorder="1"/>
    <xf numFmtId="0" fontId="10" fillId="19" borderId="4" xfId="0" applyFont="1" applyFill="1" applyBorder="1"/>
    <xf numFmtId="0" fontId="12" fillId="0" borderId="5" xfId="0" applyFont="1" applyBorder="1"/>
    <xf numFmtId="0" fontId="12" fillId="3" borderId="5" xfId="0" applyFont="1" applyFill="1" applyBorder="1"/>
    <xf numFmtId="0" fontId="16" fillId="8" borderId="1" xfId="0" applyFont="1" applyFill="1" applyBorder="1"/>
    <xf numFmtId="0" fontId="16" fillId="12" borderId="1" xfId="0" applyFont="1" applyFill="1" applyBorder="1"/>
    <xf numFmtId="0" fontId="10" fillId="18" borderId="2" xfId="0" applyFont="1" applyFill="1" applyBorder="1"/>
    <xf numFmtId="0" fontId="10" fillId="18" borderId="3" xfId="0" applyFont="1" applyFill="1" applyBorder="1"/>
    <xf numFmtId="0" fontId="10" fillId="18" borderId="4" xfId="0" applyFont="1" applyFill="1" applyBorder="1"/>
    <xf numFmtId="0" fontId="2" fillId="3" borderId="1" xfId="0" applyFont="1" applyFill="1" applyBorder="1" applyAlignment="1">
      <alignment wrapText="1"/>
    </xf>
    <xf numFmtId="0" fontId="3" fillId="8" borderId="1" xfId="0" applyFont="1" applyFill="1" applyBorder="1"/>
    <xf numFmtId="0" fontId="3" fillId="4" borderId="1" xfId="0" applyFont="1" applyFill="1" applyBorder="1"/>
    <xf numFmtId="0" fontId="14" fillId="0" borderId="1" xfId="0" applyFont="1" applyBorder="1"/>
    <xf numFmtId="0" fontId="14" fillId="6" borderId="1" xfId="0" applyFont="1" applyFill="1" applyBorder="1"/>
    <xf numFmtId="0" fontId="3" fillId="6" borderId="1" xfId="0" applyFont="1" applyFill="1" applyBorder="1"/>
    <xf numFmtId="0" fontId="14" fillId="8" borderId="1" xfId="0" applyFont="1" applyFill="1" applyBorder="1"/>
    <xf numFmtId="0" fontId="14" fillId="9" borderId="1" xfId="0" applyFont="1" applyFill="1" applyBorder="1"/>
    <xf numFmtId="0" fontId="3" fillId="9" borderId="1" xfId="0" applyFont="1" applyFill="1" applyBorder="1" applyAlignment="1">
      <alignment wrapText="1"/>
    </xf>
    <xf numFmtId="0" fontId="14" fillId="11" borderId="1" xfId="0" applyFont="1" applyFill="1" applyBorder="1"/>
    <xf numFmtId="0" fontId="3" fillId="11" borderId="1" xfId="0" applyFont="1" applyFill="1" applyBorder="1"/>
    <xf numFmtId="0" fontId="10" fillId="2" borderId="2" xfId="0" applyFont="1" applyFill="1" applyBorder="1"/>
    <xf numFmtId="0" fontId="10" fillId="2" borderId="3" xfId="0" applyFont="1" applyFill="1" applyBorder="1"/>
    <xf numFmtId="0" fontId="10" fillId="2" borderId="4" xfId="0" applyFont="1" applyFill="1" applyBorder="1"/>
    <xf numFmtId="0" fontId="11" fillId="0" borderId="5" xfId="0" applyFont="1" applyBorder="1"/>
    <xf numFmtId="0" fontId="4" fillId="3" borderId="1" xfId="0" applyFont="1" applyFill="1" applyBorder="1"/>
    <xf numFmtId="0" fontId="11" fillId="3" borderId="5" xfId="0" applyFont="1" applyFill="1" applyBorder="1"/>
    <xf numFmtId="0" fontId="6" fillId="8" borderId="1" xfId="0" applyFont="1" applyFill="1" applyBorder="1"/>
    <xf numFmtId="0" fontId="4" fillId="15" borderId="5" xfId="0" applyFont="1" applyFill="1" applyBorder="1"/>
    <xf numFmtId="0" fontId="6" fillId="4" borderId="1" xfId="0" applyFont="1" applyFill="1" applyBorder="1"/>
    <xf numFmtId="0" fontId="4" fillId="5" borderId="5" xfId="0" applyFont="1" applyFill="1" applyBorder="1"/>
    <xf numFmtId="0" fontId="6" fillId="0" borderId="1" xfId="0" applyFont="1" applyBorder="1"/>
    <xf numFmtId="0" fontId="6" fillId="6" borderId="1" xfId="0" applyFont="1" applyFill="1" applyBorder="1"/>
    <xf numFmtId="0" fontId="4" fillId="7" borderId="5" xfId="0" applyFont="1" applyFill="1" applyBorder="1"/>
    <xf numFmtId="0" fontId="7" fillId="6" borderId="1" xfId="0" applyFont="1" applyFill="1" applyBorder="1"/>
    <xf numFmtId="0" fontId="7" fillId="8" borderId="1" xfId="0" applyFont="1" applyFill="1" applyBorder="1"/>
    <xf numFmtId="0" fontId="6" fillId="9" borderId="1" xfId="0" applyFont="1" applyFill="1" applyBorder="1"/>
    <xf numFmtId="0" fontId="13" fillId="9" borderId="1" xfId="0" applyFont="1" applyFill="1" applyBorder="1"/>
    <xf numFmtId="0" fontId="5" fillId="9" borderId="1" xfId="0" applyFont="1" applyFill="1" applyBorder="1"/>
    <xf numFmtId="0" fontId="6" fillId="11" borderId="1" xfId="0" applyFont="1" applyFill="1" applyBorder="1"/>
    <xf numFmtId="0" fontId="13" fillId="11" borderId="1" xfId="0" applyFont="1" applyFill="1" applyBorder="1"/>
    <xf numFmtId="0" fontId="5" fillId="0" borderId="5" xfId="0" applyFont="1" applyBorder="1"/>
    <xf numFmtId="0" fontId="6" fillId="12" borderId="1" xfId="0" applyFont="1" applyFill="1" applyBorder="1"/>
    <xf numFmtId="0" fontId="5" fillId="12" borderId="5" xfId="0" applyFont="1" applyFill="1" applyBorder="1"/>
    <xf numFmtId="0" fontId="7" fillId="12" borderId="1" xfId="0" applyFont="1" applyFill="1" applyBorder="1"/>
    <xf numFmtId="0" fontId="3" fillId="12" borderId="5" xfId="0" applyFont="1" applyFill="1" applyBorder="1"/>
    <xf numFmtId="0" fontId="6" fillId="13" borderId="1" xfId="0" applyFont="1" applyFill="1" applyBorder="1"/>
    <xf numFmtId="0" fontId="5" fillId="13" borderId="5" xfId="0" applyFont="1" applyFill="1" applyBorder="1"/>
    <xf numFmtId="0" fontId="3" fillId="13" borderId="5" xfId="0" applyFont="1" applyFill="1" applyBorder="1"/>
    <xf numFmtId="0" fontId="13" fillId="13" borderId="1" xfId="0" applyFont="1" applyFill="1" applyBorder="1"/>
    <xf numFmtId="0" fontId="6" fillId="10" borderId="1" xfId="0" applyFont="1" applyFill="1" applyBorder="1"/>
    <xf numFmtId="0" fontId="5" fillId="10" borderId="5" xfId="0" applyFont="1" applyFill="1" applyBorder="1"/>
    <xf numFmtId="0" fontId="7" fillId="10" borderId="1" xfId="0" applyFont="1" applyFill="1" applyBorder="1"/>
    <xf numFmtId="0" fontId="6" fillId="4" borderId="6" xfId="0" applyFont="1" applyFill="1" applyBorder="1"/>
    <xf numFmtId="0" fontId="4" fillId="4" borderId="7" xfId="0" applyFont="1" applyFill="1" applyBorder="1"/>
    <xf numFmtId="0" fontId="4" fillId="4" borderId="8" xfId="0" applyFont="1" applyFill="1" applyBorder="1"/>
    <xf numFmtId="0" fontId="3" fillId="4" borderId="6" xfId="0" applyFont="1" applyFill="1" applyBorder="1"/>
    <xf numFmtId="0" fontId="4" fillId="4" borderId="6" xfId="0" applyFont="1" applyFill="1" applyBorder="1"/>
    <xf numFmtId="0" fontId="7" fillId="9" borderId="1" xfId="0" applyFont="1" applyFill="1" applyBorder="1"/>
    <xf numFmtId="0" fontId="7" fillId="11" borderId="1" xfId="0" applyFont="1" applyFill="1" applyBorder="1"/>
    <xf numFmtId="0" fontId="4" fillId="16" borderId="1" xfId="0" applyFont="1" applyFill="1" applyBorder="1"/>
    <xf numFmtId="0" fontId="4" fillId="16" borderId="0" xfId="0" applyFont="1" applyFill="1" applyAlignment="1">
      <alignment wrapText="1"/>
    </xf>
    <xf numFmtId="0" fontId="17" fillId="10" borderId="9" xfId="0" applyFont="1" applyFill="1" applyBorder="1" applyAlignment="1">
      <alignment horizontal="left" vertical="center"/>
    </xf>
    <xf numFmtId="0" fontId="17" fillId="10" borderId="9" xfId="0" applyFont="1" applyFill="1" applyBorder="1" applyAlignment="1">
      <alignment vertical="center"/>
    </xf>
    <xf numFmtId="0" fontId="3" fillId="17" borderId="1" xfId="0" applyFont="1" applyFill="1" applyBorder="1"/>
    <xf numFmtId="0" fontId="4" fillId="17" borderId="5" xfId="0" applyFont="1" applyFill="1" applyBorder="1"/>
    <xf numFmtId="0" fontId="4" fillId="17" borderId="0" xfId="0" applyFont="1" applyFill="1"/>
    <xf numFmtId="0" fontId="4" fillId="17" borderId="1" xfId="0" applyFont="1" applyFill="1" applyBorder="1"/>
    <xf numFmtId="0" fontId="4" fillId="16" borderId="0" xfId="0" applyFont="1" applyFill="1" applyAlignment="1">
      <alignment horizontal="left" vertical="top" readingOrder="2"/>
    </xf>
    <xf numFmtId="0" fontId="15" fillId="16" borderId="0" xfId="0" applyFont="1" applyFill="1" applyAlignment="1">
      <alignment horizontal="left" vertical="top" readingOrder="2"/>
    </xf>
    <xf numFmtId="0" fontId="10" fillId="2" borderId="2" xfId="0" applyFont="1" applyFill="1" applyBorder="1" applyAlignment="1">
      <alignment horizontal="left" vertical="center"/>
    </xf>
    <xf numFmtId="0" fontId="6" fillId="4" borderId="0" xfId="0" applyFont="1" applyFill="1" applyAlignment="1">
      <alignment horizontal="left" vertical="top"/>
    </xf>
    <xf numFmtId="0" fontId="4" fillId="4" borderId="0" xfId="0" applyFont="1" applyFill="1" applyAlignment="1">
      <alignment horizontal="left" vertical="top"/>
    </xf>
    <xf numFmtId="164" fontId="1" fillId="0" borderId="0" xfId="0" applyNumberFormat="1" applyFont="1"/>
    <xf numFmtId="0" fontId="4" fillId="20" borderId="1" xfId="0" applyFont="1" applyFill="1" applyBorder="1"/>
    <xf numFmtId="0" fontId="3" fillId="20" borderId="0" xfId="0" applyFont="1" applyFill="1"/>
    <xf numFmtId="0" fontId="5" fillId="20" borderId="0" xfId="0" applyFont="1" applyFill="1"/>
    <xf numFmtId="0" fontId="4" fillId="20" borderId="0" xfId="0" applyFont="1" applyFill="1"/>
    <xf numFmtId="0" fontId="4" fillId="20" borderId="5" xfId="0" applyFont="1" applyFill="1" applyBorder="1"/>
    <xf numFmtId="0" fontId="3" fillId="20" borderId="1" xfId="0" applyFont="1" applyFill="1" applyBorder="1" applyAlignment="1">
      <alignment wrapText="1"/>
    </xf>
    <xf numFmtId="0" fontId="3" fillId="16" borderId="1" xfId="0" applyFont="1" applyFill="1" applyBorder="1" applyAlignment="1">
      <alignment wrapText="1"/>
    </xf>
    <xf numFmtId="0" fontId="16" fillId="10" borderId="0" xfId="0" applyFont="1" applyFill="1" applyAlignment="1">
      <alignment wrapText="1"/>
    </xf>
    <xf numFmtId="0" fontId="3" fillId="20" borderId="1" xfId="0" applyFont="1" applyFill="1" applyBorder="1"/>
    <xf numFmtId="0" fontId="3" fillId="0" borderId="5" xfId="0" applyFont="1" applyBorder="1"/>
    <xf numFmtId="0" fontId="3" fillId="8" borderId="0" xfId="0" applyFont="1" applyFill="1"/>
    <xf numFmtId="0" fontId="5" fillId="8" borderId="1" xfId="0" applyFont="1" applyFill="1" applyBorder="1"/>
    <xf numFmtId="0" fontId="3" fillId="8" borderId="5" xfId="0" applyFont="1" applyFill="1" applyBorder="1"/>
    <xf numFmtId="15" fontId="2" fillId="0" borderId="0" xfId="0" applyNumberFormat="1" applyFont="1"/>
    <xf numFmtId="0" fontId="2" fillId="0" borderId="0" xfId="0" applyFont="1" applyAlignment="1">
      <alignment horizontal="left" indent="1"/>
    </xf>
    <xf numFmtId="0" fontId="3" fillId="6" borderId="1" xfId="0" applyFont="1" applyFill="1" applyBorder="1" applyAlignment="1">
      <alignment vertical="top" wrapText="1"/>
    </xf>
    <xf numFmtId="0" fontId="6" fillId="9" borderId="0" xfId="0" applyFont="1" applyFill="1"/>
    <xf numFmtId="0" fontId="16" fillId="16" borderId="0" xfId="0" applyFont="1" applyFill="1"/>
    <xf numFmtId="0" fontId="4" fillId="21" borderId="0" xfId="0" applyFont="1" applyFill="1"/>
    <xf numFmtId="0" fontId="16" fillId="21" borderId="0" xfId="0" applyFont="1" applyFill="1"/>
    <xf numFmtId="0" fontId="16" fillId="16" borderId="1" xfId="0" applyFont="1" applyFill="1" applyBorder="1"/>
    <xf numFmtId="0" fontId="16" fillId="16" borderId="0" xfId="0" applyFont="1" applyFill="1" applyAlignment="1">
      <alignment wrapText="1"/>
    </xf>
    <xf numFmtId="0" fontId="5" fillId="16" borderId="0" xfId="0" applyFont="1" applyFill="1"/>
    <xf numFmtId="0" fontId="3" fillId="21" borderId="1" xfId="0" applyFont="1" applyFill="1" applyBorder="1"/>
    <xf numFmtId="0" fontId="4" fillId="8" borderId="0" xfId="0" applyFont="1" applyFill="1" applyAlignment="1">
      <alignment wrapText="1"/>
    </xf>
    <xf numFmtId="0" fontId="4" fillId="16" borderId="1" xfId="0" applyFont="1" applyFill="1" applyBorder="1" applyAlignment="1">
      <alignment wrapText="1"/>
    </xf>
    <xf numFmtId="0" fontId="16" fillId="22" borderId="0" xfId="0" applyFont="1" applyFill="1"/>
  </cellXfs>
  <cellStyles count="6">
    <cellStyle name="Followed Hyperlink" xfId="2" builtinId="9" hidden="1"/>
    <cellStyle name="Followed Hyperlink" xfId="4" builtinId="9" hidden="1"/>
    <cellStyle name="Hyperlink" xfId="1" builtinId="8" hidden="1"/>
    <cellStyle name="Hyperlink" xfId="3" builtinId="8" hidden="1"/>
    <cellStyle name="Normal" xfId="0" builtinId="0"/>
    <cellStyle name="Normal 2" xfId="5" xr:uid="{00000000-0005-0000-0000-000005000000}"/>
  </cellStyles>
  <dxfs count="13">
    <dxf>
      <font>
        <b/>
        <i val="0"/>
        <color theme="9" tint="-0.24994659260841701"/>
      </font>
    </dxf>
    <dxf>
      <font>
        <b/>
        <i/>
        <color rgb="FFFF0000"/>
      </font>
    </dxf>
    <dxf>
      <font>
        <b/>
        <i val="0"/>
        <color theme="9" tint="-0.24994659260841701"/>
      </font>
    </dxf>
    <dxf>
      <font>
        <b/>
        <i/>
        <color rgb="FFFF0000"/>
      </font>
    </dxf>
    <dxf>
      <font>
        <b/>
        <i val="0"/>
        <color theme="9" tint="-0.24994659260841701"/>
      </font>
    </dxf>
    <dxf>
      <font>
        <b/>
        <i/>
        <color rgb="FFFF0000"/>
      </font>
    </dxf>
    <dxf>
      <font>
        <b/>
        <i val="0"/>
        <color theme="9" tint="-0.24994659260841701"/>
      </font>
    </dxf>
    <dxf>
      <font>
        <b/>
        <i/>
        <color rgb="FFFF0000"/>
      </font>
    </dxf>
    <dxf>
      <font>
        <b/>
        <i val="0"/>
        <color theme="9" tint="-0.24994659260841701"/>
      </font>
    </dxf>
    <dxf>
      <font>
        <b/>
        <i/>
        <color rgb="FFFF0000"/>
      </font>
    </dxf>
    <dxf>
      <font>
        <b/>
        <i val="0"/>
        <color theme="9" tint="-0.24994659260841701"/>
      </font>
    </dxf>
    <dxf>
      <font>
        <b/>
        <i/>
        <color rgb="FFFF0000"/>
      </font>
    </dxf>
    <dxf>
      <font>
        <b/>
        <i val="0"/>
        <color rgb="FF7030A0"/>
      </font>
      <border>
        <left style="thin">
          <color rgb="FFFF0000"/>
        </left>
        <right style="thin">
          <color rgb="FFFF0000"/>
        </right>
        <top style="thin">
          <color rgb="FFFF0000"/>
        </top>
        <bottom style="thin">
          <color rgb="FFFF0000"/>
        </bottom>
      </border>
    </dxf>
  </dxfs>
  <tableStyles count="0" defaultTableStyle="TableStyleMedium9" defaultPivotStyle="PivotStyleMedium4"/>
  <colors>
    <mruColors>
      <color rgb="FFCFF1F1"/>
      <color rgb="FFFFF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70"/>
  <sheetViews>
    <sheetView tabSelected="1" zoomScaleNormal="100" workbookViewId="0">
      <pane xSplit="2" ySplit="1" topLeftCell="F356" activePane="bottomRight" state="frozen"/>
      <selection pane="topRight" activeCell="D1" sqref="D1"/>
      <selection pane="bottomLeft" activeCell="A2" sqref="A2"/>
      <selection pane="bottomRight" activeCell="B378" sqref="B378"/>
    </sheetView>
  </sheetViews>
  <sheetFormatPr defaultColWidth="17.28515625" defaultRowHeight="17.25" customHeight="1" x14ac:dyDescent="0.2"/>
  <cols>
    <col min="1" max="1" width="52.28515625" style="5" customWidth="1"/>
    <col min="2" max="2" width="15" style="5" customWidth="1"/>
    <col min="3" max="3" width="19.85546875" style="5" customWidth="1"/>
    <col min="4" max="4" width="24.28515625" style="5" customWidth="1"/>
    <col min="5" max="5" width="23.28515625" style="5" customWidth="1"/>
    <col min="6" max="6" width="46.140625" style="5" customWidth="1"/>
    <col min="7" max="7" width="30.28515625" style="5" customWidth="1"/>
    <col min="8" max="8" width="28.140625" style="5" customWidth="1"/>
    <col min="9" max="9" width="52.28515625" style="4" customWidth="1"/>
    <col min="10" max="10" width="41.42578125" style="5" customWidth="1"/>
    <col min="11" max="11" width="16.28515625" style="5" customWidth="1"/>
    <col min="12" max="12" width="19" style="5" customWidth="1"/>
    <col min="13" max="13" width="31.5703125" style="5" customWidth="1"/>
    <col min="14" max="14" width="61.28515625" style="5" customWidth="1"/>
    <col min="15" max="15" width="31" style="5" customWidth="1"/>
    <col min="16" max="16" width="34.7109375" style="5" customWidth="1"/>
    <col min="17" max="17" width="24.7109375" style="5" customWidth="1"/>
    <col min="18" max="18" width="42.28515625" style="5" customWidth="1"/>
    <col min="19" max="16384" width="17.28515625" style="5"/>
  </cols>
  <sheetData>
    <row r="1" spans="1:18" s="45" customFormat="1" ht="17.25" customHeight="1" x14ac:dyDescent="0.2">
      <c r="A1" s="111" t="s">
        <v>0</v>
      </c>
      <c r="B1" s="112" t="s">
        <v>1</v>
      </c>
      <c r="C1" s="160" t="s">
        <v>829</v>
      </c>
      <c r="D1" s="112" t="s">
        <v>2</v>
      </c>
      <c r="E1" s="112" t="s">
        <v>3</v>
      </c>
      <c r="F1" s="112" t="s">
        <v>4</v>
      </c>
      <c r="G1" s="112" t="s">
        <v>5</v>
      </c>
      <c r="H1" s="113" t="s">
        <v>6</v>
      </c>
      <c r="I1" s="97" t="s">
        <v>370</v>
      </c>
      <c r="J1" s="98" t="s">
        <v>766</v>
      </c>
      <c r="K1" s="98" t="s">
        <v>767</v>
      </c>
      <c r="L1" s="98" t="s">
        <v>768</v>
      </c>
      <c r="M1" s="99" t="s">
        <v>411</v>
      </c>
      <c r="N1" s="90" t="s">
        <v>928</v>
      </c>
      <c r="O1" s="91" t="s">
        <v>929</v>
      </c>
      <c r="P1" s="91" t="s">
        <v>930</v>
      </c>
      <c r="Q1" s="91" t="s">
        <v>931</v>
      </c>
      <c r="R1" s="92" t="s">
        <v>932</v>
      </c>
    </row>
    <row r="2" spans="1:18" ht="17.25" customHeight="1" x14ac:dyDescent="0.2">
      <c r="A2" s="48"/>
      <c r="H2" s="49"/>
      <c r="I2" s="80"/>
      <c r="M2" s="49"/>
      <c r="N2" s="48"/>
      <c r="R2" s="49"/>
    </row>
    <row r="3" spans="1:18" ht="17.25" customHeight="1" x14ac:dyDescent="0.2">
      <c r="A3" s="48" t="s">
        <v>7</v>
      </c>
      <c r="B3" s="5" t="s">
        <v>20</v>
      </c>
      <c r="H3" s="49"/>
      <c r="I3" s="80"/>
      <c r="M3" s="49"/>
      <c r="N3" s="48"/>
      <c r="R3" s="49"/>
    </row>
    <row r="4" spans="1:18" ht="17.25" customHeight="1" x14ac:dyDescent="0.2">
      <c r="A4" s="48" t="s">
        <v>8</v>
      </c>
      <c r="B4" s="5" t="s">
        <v>29</v>
      </c>
      <c r="H4" s="49"/>
      <c r="I4" s="80"/>
      <c r="M4" s="49"/>
      <c r="N4" s="48"/>
      <c r="R4" s="49"/>
    </row>
    <row r="5" spans="1:18" ht="17.25" customHeight="1" x14ac:dyDescent="0.2">
      <c r="A5" s="48" t="s">
        <v>9</v>
      </c>
      <c r="B5" s="5" t="s">
        <v>9</v>
      </c>
      <c r="H5" s="49"/>
      <c r="I5" s="80"/>
      <c r="M5" s="49"/>
      <c r="N5" s="48"/>
      <c r="R5" s="49"/>
    </row>
    <row r="6" spans="1:18" ht="17.25" customHeight="1" x14ac:dyDescent="0.2">
      <c r="A6" s="48" t="s">
        <v>10</v>
      </c>
      <c r="B6" s="5" t="s">
        <v>10</v>
      </c>
      <c r="H6" s="49"/>
      <c r="I6" s="80"/>
      <c r="M6" s="49"/>
      <c r="N6" s="48"/>
      <c r="R6" s="49"/>
    </row>
    <row r="7" spans="1:18" customFormat="1" ht="15.75" customHeight="1" x14ac:dyDescent="0.2">
      <c r="A7" s="48" t="s">
        <v>512</v>
      </c>
      <c r="B7" s="5" t="s">
        <v>512</v>
      </c>
      <c r="C7" s="5"/>
      <c r="D7" s="10"/>
      <c r="E7" s="10"/>
      <c r="F7" s="10"/>
      <c r="G7" s="10"/>
      <c r="H7" s="114"/>
      <c r="I7" s="80"/>
      <c r="J7" s="10"/>
      <c r="K7" s="10"/>
      <c r="L7" s="10"/>
      <c r="M7" s="93"/>
      <c r="N7" s="48"/>
      <c r="O7" s="10"/>
      <c r="P7" s="10"/>
      <c r="Q7" s="10"/>
      <c r="R7" s="93"/>
    </row>
    <row r="8" spans="1:18" customFormat="1" ht="15.75" customHeight="1" x14ac:dyDescent="0.2">
      <c r="A8" s="115" t="s">
        <v>11</v>
      </c>
      <c r="B8" s="46" t="s">
        <v>578</v>
      </c>
      <c r="C8" s="46"/>
      <c r="D8" s="11"/>
      <c r="E8" s="11"/>
      <c r="F8" s="11"/>
      <c r="G8" s="11">
        <v>18</v>
      </c>
      <c r="H8" s="116"/>
      <c r="I8" s="100"/>
      <c r="J8" s="11"/>
      <c r="K8" s="11"/>
      <c r="L8" s="11"/>
      <c r="M8" s="94"/>
      <c r="N8" s="50"/>
      <c r="O8" s="11"/>
      <c r="P8" s="11"/>
      <c r="Q8" s="11"/>
      <c r="R8" s="94"/>
    </row>
    <row r="9" spans="1:18" customFormat="1" ht="15.75" customHeight="1" x14ac:dyDescent="0.2">
      <c r="A9" s="115" t="s">
        <v>11</v>
      </c>
      <c r="B9" s="46" t="s">
        <v>579</v>
      </c>
      <c r="C9" s="46"/>
      <c r="D9" s="11"/>
      <c r="E9" s="11"/>
      <c r="F9" s="11"/>
      <c r="G9" s="11">
        <v>69</v>
      </c>
      <c r="H9" s="116"/>
      <c r="I9" s="100"/>
      <c r="J9" s="11"/>
      <c r="K9" s="11"/>
      <c r="L9" s="11"/>
      <c r="M9" s="94"/>
      <c r="N9" s="50"/>
      <c r="O9" s="11"/>
      <c r="P9" s="11"/>
      <c r="Q9" s="11"/>
      <c r="R9" s="94"/>
    </row>
    <row r="10" spans="1:18" ht="17.25" customHeight="1" x14ac:dyDescent="0.2">
      <c r="A10" s="48"/>
      <c r="H10" s="49"/>
      <c r="I10" s="80"/>
      <c r="M10" s="49"/>
      <c r="N10" s="48"/>
      <c r="R10" s="49"/>
    </row>
    <row r="11" spans="1:18" ht="17.25" customHeight="1" x14ac:dyDescent="0.2">
      <c r="A11" s="117" t="s">
        <v>12</v>
      </c>
      <c r="B11" s="35" t="s">
        <v>844</v>
      </c>
      <c r="C11" s="35"/>
      <c r="D11" s="35"/>
      <c r="E11" s="35"/>
      <c r="F11" s="35"/>
      <c r="G11" s="35"/>
      <c r="H11" s="52" t="s">
        <v>73</v>
      </c>
      <c r="I11" s="101"/>
      <c r="J11" s="35"/>
      <c r="K11" s="35"/>
      <c r="L11" s="35"/>
      <c r="M11" s="52"/>
      <c r="N11" s="51"/>
      <c r="O11" s="35"/>
      <c r="P11" s="35"/>
      <c r="Q11" s="35"/>
      <c r="R11" s="52"/>
    </row>
    <row r="12" spans="1:18" ht="17.25" customHeight="1" x14ac:dyDescent="0.2">
      <c r="A12" s="53" t="s">
        <v>82</v>
      </c>
      <c r="B12" s="35" t="s">
        <v>841</v>
      </c>
      <c r="C12" s="35"/>
      <c r="D12" s="35"/>
      <c r="E12" s="35"/>
      <c r="F12" s="35"/>
      <c r="G12" s="35"/>
      <c r="H12" s="52"/>
      <c r="I12" s="101"/>
      <c r="J12" s="35"/>
      <c r="K12" s="35"/>
      <c r="L12" s="35"/>
      <c r="M12" s="52" t="s">
        <v>842</v>
      </c>
      <c r="N12" s="51"/>
      <c r="O12" s="35"/>
      <c r="P12" s="35"/>
      <c r="Q12" s="35"/>
      <c r="R12" s="52" t="s">
        <v>842</v>
      </c>
    </row>
    <row r="13" spans="1:18" ht="17.25" customHeight="1" x14ac:dyDescent="0.2">
      <c r="A13" s="53" t="s">
        <v>11</v>
      </c>
      <c r="B13" s="29" t="s">
        <v>62</v>
      </c>
      <c r="C13" s="29"/>
      <c r="D13" s="29"/>
      <c r="E13" s="29"/>
      <c r="F13" s="29"/>
      <c r="G13" s="29" t="s">
        <v>809</v>
      </c>
      <c r="H13" s="118"/>
      <c r="I13" s="88"/>
      <c r="J13" s="29"/>
      <c r="K13" s="29"/>
      <c r="L13" s="29"/>
      <c r="M13" s="52"/>
      <c r="N13" s="53"/>
      <c r="O13" s="29"/>
      <c r="P13" s="29"/>
      <c r="Q13" s="29"/>
      <c r="R13" s="52"/>
    </row>
    <row r="14" spans="1:18" ht="17.25" customHeight="1" x14ac:dyDescent="0.2">
      <c r="A14" s="53" t="s">
        <v>82</v>
      </c>
      <c r="B14" s="29" t="s">
        <v>507</v>
      </c>
      <c r="C14" s="29"/>
      <c r="D14" s="29"/>
      <c r="E14" s="29"/>
      <c r="F14" s="29"/>
      <c r="G14" s="29"/>
      <c r="H14" s="118"/>
      <c r="I14" s="88" t="s">
        <v>508</v>
      </c>
      <c r="J14" s="29"/>
      <c r="K14" s="29"/>
      <c r="L14" s="29"/>
      <c r="M14" s="52"/>
      <c r="N14" s="53" t="s">
        <v>508</v>
      </c>
      <c r="O14" s="29"/>
      <c r="P14" s="29"/>
      <c r="Q14" s="29"/>
      <c r="R14" s="52"/>
    </row>
    <row r="15" spans="1:18" ht="17.25" customHeight="1" x14ac:dyDescent="0.2">
      <c r="A15" s="53" t="s">
        <v>11</v>
      </c>
      <c r="B15" s="29" t="s">
        <v>509</v>
      </c>
      <c r="C15" s="29"/>
      <c r="D15" s="29"/>
      <c r="E15" s="29"/>
      <c r="F15" s="29"/>
      <c r="G15" s="29" t="s">
        <v>810</v>
      </c>
      <c r="H15" s="118"/>
      <c r="I15" s="88"/>
      <c r="J15" s="29"/>
      <c r="K15" s="29"/>
      <c r="L15" s="29"/>
      <c r="M15" s="52"/>
      <c r="N15" s="53"/>
      <c r="O15" s="29"/>
      <c r="P15" s="29"/>
      <c r="Q15" s="29"/>
      <c r="R15" s="52"/>
    </row>
    <row r="16" spans="1:18" ht="17.25" customHeight="1" x14ac:dyDescent="0.2">
      <c r="A16" s="53" t="s">
        <v>82</v>
      </c>
      <c r="B16" s="29" t="s">
        <v>510</v>
      </c>
      <c r="C16" s="29"/>
      <c r="D16" s="29"/>
      <c r="E16" s="29"/>
      <c r="F16" s="29"/>
      <c r="G16" s="29"/>
      <c r="H16" s="118"/>
      <c r="I16" s="88" t="s">
        <v>511</v>
      </c>
      <c r="J16" s="29"/>
      <c r="K16" s="29"/>
      <c r="L16" s="29"/>
      <c r="M16" s="52"/>
      <c r="N16" s="53" t="s">
        <v>511</v>
      </c>
      <c r="O16" s="29"/>
      <c r="P16" s="29"/>
      <c r="Q16" s="29"/>
      <c r="R16" s="52"/>
    </row>
    <row r="17" spans="1:18" ht="17.25" customHeight="1" x14ac:dyDescent="0.2">
      <c r="A17" s="53" t="s">
        <v>11</v>
      </c>
      <c r="B17" s="29" t="s">
        <v>808</v>
      </c>
      <c r="C17" s="29"/>
      <c r="D17" s="29"/>
      <c r="E17" s="29"/>
      <c r="F17" s="29"/>
      <c r="G17" s="29" t="s">
        <v>811</v>
      </c>
      <c r="H17" s="118"/>
      <c r="I17" s="88"/>
      <c r="J17" s="29"/>
      <c r="K17" s="29"/>
      <c r="L17" s="29"/>
      <c r="M17" s="52"/>
      <c r="N17" s="53"/>
      <c r="O17" s="29"/>
      <c r="P17" s="29"/>
      <c r="Q17" s="29"/>
      <c r="R17" s="52"/>
    </row>
    <row r="18" spans="1:18" ht="17.25" customHeight="1" x14ac:dyDescent="0.2">
      <c r="A18" s="53" t="s">
        <v>780</v>
      </c>
      <c r="B18" s="29" t="s">
        <v>825</v>
      </c>
      <c r="C18" s="29"/>
      <c r="D18" s="29" t="s">
        <v>816</v>
      </c>
      <c r="E18" s="29"/>
      <c r="F18" s="29"/>
      <c r="G18" s="29"/>
      <c r="H18" s="118"/>
      <c r="I18" s="88" t="s">
        <v>843</v>
      </c>
      <c r="J18" s="29"/>
      <c r="K18" s="29"/>
      <c r="L18" s="29"/>
      <c r="M18" s="52"/>
      <c r="N18" s="187" t="s">
        <v>935</v>
      </c>
      <c r="O18" s="29"/>
      <c r="P18" s="29"/>
      <c r="Q18" s="29"/>
      <c r="R18" s="52"/>
    </row>
    <row r="19" spans="1:18" ht="17.25" customHeight="1" x14ac:dyDescent="0.2">
      <c r="A19" s="53" t="s">
        <v>13</v>
      </c>
      <c r="B19" s="29" t="s">
        <v>826</v>
      </c>
      <c r="C19" s="29"/>
      <c r="D19" s="29" t="s">
        <v>817</v>
      </c>
      <c r="E19" s="29" t="s">
        <v>16</v>
      </c>
      <c r="F19" s="29" t="s">
        <v>827</v>
      </c>
      <c r="G19" s="35"/>
      <c r="H19" s="52"/>
      <c r="I19" s="101" t="s">
        <v>784</v>
      </c>
      <c r="J19" s="35" t="s">
        <v>828</v>
      </c>
      <c r="K19" s="35"/>
      <c r="L19" s="35"/>
      <c r="M19" s="52"/>
      <c r="N19" s="150" t="s">
        <v>936</v>
      </c>
      <c r="O19" s="151" t="s">
        <v>937</v>
      </c>
      <c r="P19" s="35"/>
      <c r="Q19" s="35"/>
      <c r="R19" s="52"/>
    </row>
    <row r="20" spans="1:18" ht="17.25" customHeight="1" x14ac:dyDescent="0.2">
      <c r="A20" s="53" t="s">
        <v>11</v>
      </c>
      <c r="B20" s="29" t="s">
        <v>849</v>
      </c>
      <c r="C20" s="29"/>
      <c r="D20" s="29"/>
      <c r="E20" s="29"/>
      <c r="F20" s="29"/>
      <c r="G20" s="35" t="s">
        <v>840</v>
      </c>
      <c r="H20" s="52"/>
      <c r="I20" s="101"/>
      <c r="J20" s="188"/>
      <c r="K20" s="35"/>
      <c r="L20" s="35"/>
      <c r="M20" s="52"/>
      <c r="N20" s="150"/>
      <c r="O20" s="151"/>
      <c r="P20" s="35"/>
      <c r="Q20" s="35"/>
      <c r="R20" s="52"/>
    </row>
    <row r="21" spans="1:18" ht="17.25" customHeight="1" x14ac:dyDescent="0.2">
      <c r="A21" s="117" t="s">
        <v>21</v>
      </c>
      <c r="B21" s="35" t="s">
        <v>844</v>
      </c>
      <c r="C21" s="29"/>
      <c r="D21" s="29"/>
      <c r="E21" s="29"/>
      <c r="F21" s="29"/>
      <c r="G21" s="35"/>
      <c r="H21" s="52"/>
      <c r="I21" s="101"/>
      <c r="J21" s="35"/>
      <c r="K21" s="35"/>
      <c r="L21" s="35"/>
      <c r="M21" s="52"/>
      <c r="N21" s="51"/>
      <c r="O21" s="35"/>
      <c r="P21" s="35"/>
      <c r="Q21" s="35"/>
      <c r="R21" s="52"/>
    </row>
    <row r="22" spans="1:18" ht="17.25" customHeight="1" x14ac:dyDescent="0.2">
      <c r="A22" s="48"/>
      <c r="H22" s="49"/>
      <c r="I22" s="80"/>
      <c r="M22" s="49"/>
      <c r="N22" s="48"/>
      <c r="R22" s="49"/>
    </row>
    <row r="23" spans="1:18" ht="17.25" customHeight="1" x14ac:dyDescent="0.2">
      <c r="A23" s="161" t="s">
        <v>12</v>
      </c>
      <c r="B23" s="162" t="s">
        <v>830</v>
      </c>
      <c r="C23" s="162"/>
      <c r="D23" s="162"/>
      <c r="E23" s="162"/>
      <c r="F23" s="162"/>
      <c r="G23" s="162"/>
      <c r="H23" s="162"/>
      <c r="I23" s="81" t="s">
        <v>786</v>
      </c>
      <c r="J23" s="162"/>
      <c r="K23" s="162"/>
      <c r="L23" s="162"/>
      <c r="M23" s="162"/>
      <c r="N23" s="159" t="s">
        <v>938</v>
      </c>
      <c r="O23" s="31"/>
      <c r="P23" s="31"/>
      <c r="Q23" s="31"/>
      <c r="R23" s="55"/>
    </row>
    <row r="24" spans="1:18" ht="17.25" customHeight="1" x14ac:dyDescent="0.2">
      <c r="A24" s="162" t="s">
        <v>845</v>
      </c>
      <c r="B24" s="162" t="s">
        <v>14</v>
      </c>
      <c r="C24" s="162"/>
      <c r="D24" s="162"/>
      <c r="E24" s="162" t="s">
        <v>16</v>
      </c>
      <c r="F24" s="162"/>
      <c r="G24" s="162"/>
      <c r="H24" s="162"/>
      <c r="I24" s="102" t="s">
        <v>1188</v>
      </c>
      <c r="J24" s="162"/>
      <c r="K24" s="162"/>
      <c r="L24" s="162"/>
      <c r="M24" s="162"/>
      <c r="N24" s="158" t="s">
        <v>939</v>
      </c>
      <c r="O24" s="31"/>
      <c r="P24" s="31"/>
      <c r="Q24" s="31"/>
      <c r="R24" s="55"/>
    </row>
    <row r="25" spans="1:18" ht="17.25" customHeight="1" x14ac:dyDescent="0.2">
      <c r="A25" s="162" t="s">
        <v>846</v>
      </c>
      <c r="B25" s="162" t="s">
        <v>18</v>
      </c>
      <c r="C25" s="162" t="s">
        <v>848</v>
      </c>
      <c r="D25" s="162"/>
      <c r="E25" s="162" t="s">
        <v>16</v>
      </c>
      <c r="F25" s="162"/>
      <c r="G25" s="162"/>
      <c r="H25" s="162"/>
      <c r="I25" s="102" t="s">
        <v>1189</v>
      </c>
      <c r="J25" s="162"/>
      <c r="K25" s="162"/>
      <c r="L25" s="162"/>
      <c r="M25" s="162"/>
      <c r="N25" s="158" t="s">
        <v>940</v>
      </c>
      <c r="O25" s="31"/>
      <c r="P25" s="31"/>
      <c r="Q25" s="31"/>
      <c r="R25" s="55"/>
    </row>
    <row r="26" spans="1:18" ht="17.25" customHeight="1" x14ac:dyDescent="0.2">
      <c r="A26" s="162" t="s">
        <v>847</v>
      </c>
      <c r="B26" s="162" t="s">
        <v>831</v>
      </c>
      <c r="C26" s="162" t="s">
        <v>914</v>
      </c>
      <c r="D26" s="162"/>
      <c r="E26" s="162" t="s">
        <v>16</v>
      </c>
      <c r="F26" s="162"/>
      <c r="G26" s="162"/>
      <c r="H26" s="162"/>
      <c r="I26" s="102" t="s">
        <v>1190</v>
      </c>
      <c r="J26" s="162"/>
      <c r="K26" s="162"/>
      <c r="L26" s="162"/>
      <c r="M26" s="162"/>
      <c r="N26" s="158" t="s">
        <v>941</v>
      </c>
      <c r="O26" s="31"/>
      <c r="P26" s="31"/>
      <c r="Q26" s="31"/>
      <c r="R26" s="55"/>
    </row>
    <row r="27" spans="1:18" ht="17.25" customHeight="1" x14ac:dyDescent="0.2">
      <c r="A27" s="162" t="s">
        <v>17</v>
      </c>
      <c r="B27" s="162" t="s">
        <v>832</v>
      </c>
      <c r="C27" s="162"/>
      <c r="D27" s="162"/>
      <c r="E27" s="162" t="s">
        <v>16</v>
      </c>
      <c r="F27" s="162" t="s">
        <v>833</v>
      </c>
      <c r="G27" s="162"/>
      <c r="H27" s="162"/>
      <c r="I27" s="102" t="s">
        <v>158</v>
      </c>
      <c r="J27" s="162"/>
      <c r="K27" s="162"/>
      <c r="L27" s="162"/>
      <c r="M27" s="162"/>
      <c r="N27" s="158" t="s">
        <v>942</v>
      </c>
      <c r="O27" s="31"/>
      <c r="P27" s="31"/>
      <c r="Q27" s="31"/>
      <c r="R27" s="55"/>
    </row>
    <row r="28" spans="1:18" ht="17.25" customHeight="1" x14ac:dyDescent="0.2">
      <c r="A28" s="44" t="s">
        <v>13</v>
      </c>
      <c r="B28" s="31" t="s">
        <v>19</v>
      </c>
      <c r="C28" s="31"/>
      <c r="D28" s="31" t="s">
        <v>15</v>
      </c>
      <c r="E28" s="31" t="s">
        <v>16</v>
      </c>
      <c r="F28" s="31"/>
      <c r="G28" s="31"/>
      <c r="H28" s="55"/>
      <c r="I28" s="102" t="s">
        <v>587</v>
      </c>
      <c r="J28" s="31" t="s">
        <v>502</v>
      </c>
      <c r="K28" s="31"/>
      <c r="L28" s="31"/>
      <c r="M28" s="55"/>
      <c r="N28" s="150" t="s">
        <v>943</v>
      </c>
      <c r="O28" s="181" t="s">
        <v>1167</v>
      </c>
      <c r="P28" s="31"/>
      <c r="Q28" s="31"/>
      <c r="R28" s="55"/>
    </row>
    <row r="29" spans="1:18" ht="17.25" customHeight="1" x14ac:dyDescent="0.2">
      <c r="A29" s="161" t="s">
        <v>21</v>
      </c>
      <c r="B29" s="162"/>
      <c r="C29" s="162"/>
      <c r="D29" s="162"/>
      <c r="E29" s="162"/>
      <c r="F29" s="162"/>
      <c r="G29" s="162"/>
      <c r="H29" s="162"/>
      <c r="I29" s="102"/>
      <c r="J29" s="162"/>
      <c r="K29" s="162"/>
      <c r="L29" s="162"/>
      <c r="M29" s="162"/>
      <c r="N29" s="44"/>
      <c r="O29" s="31"/>
      <c r="P29" s="31"/>
      <c r="Q29" s="31"/>
      <c r="R29" s="55"/>
    </row>
    <row r="30" spans="1:18" s="156" customFormat="1" ht="17.25" customHeight="1" x14ac:dyDescent="0.2">
      <c r="A30" s="157"/>
      <c r="H30" s="155"/>
      <c r="I30" s="154"/>
      <c r="M30" s="155"/>
      <c r="N30" s="157"/>
      <c r="R30" s="155"/>
    </row>
    <row r="31" spans="1:18" ht="17.25" customHeight="1" x14ac:dyDescent="0.2">
      <c r="A31" s="119" t="s">
        <v>12</v>
      </c>
      <c r="B31" s="31" t="s">
        <v>22</v>
      </c>
      <c r="C31" s="31"/>
      <c r="D31" s="31"/>
      <c r="E31" s="31"/>
      <c r="F31" s="31"/>
      <c r="G31" s="31"/>
      <c r="H31" s="55"/>
      <c r="I31" s="81" t="s">
        <v>23</v>
      </c>
      <c r="J31" s="31"/>
      <c r="K31" s="31"/>
      <c r="L31" s="31"/>
      <c r="M31" s="55"/>
      <c r="N31" s="54" t="s">
        <v>23</v>
      </c>
      <c r="O31" s="31"/>
      <c r="P31" s="31"/>
      <c r="Q31" s="31"/>
      <c r="R31" s="55"/>
    </row>
    <row r="32" spans="1:18" ht="17.25" customHeight="1" x14ac:dyDescent="0.2">
      <c r="A32" s="44" t="s">
        <v>885</v>
      </c>
      <c r="B32" s="31" t="s">
        <v>24</v>
      </c>
      <c r="C32" s="31"/>
      <c r="D32" s="31"/>
      <c r="E32" s="31" t="s">
        <v>16</v>
      </c>
      <c r="F32" s="31"/>
      <c r="G32" s="31"/>
      <c r="H32" s="55"/>
      <c r="I32" s="102" t="s">
        <v>588</v>
      </c>
      <c r="J32" s="31"/>
      <c r="K32" s="31"/>
      <c r="L32" s="31"/>
      <c r="M32" s="55"/>
      <c r="N32" s="150" t="s">
        <v>944</v>
      </c>
      <c r="O32" s="31"/>
      <c r="P32" s="31"/>
      <c r="Q32" s="31"/>
      <c r="R32" s="55"/>
    </row>
    <row r="33" spans="1:18" ht="17.25" customHeight="1" x14ac:dyDescent="0.2">
      <c r="A33" s="44" t="s">
        <v>25</v>
      </c>
      <c r="B33" s="31" t="s">
        <v>26</v>
      </c>
      <c r="C33" s="31"/>
      <c r="D33" s="31"/>
      <c r="E33" s="31" t="s">
        <v>16</v>
      </c>
      <c r="F33" s="31" t="s">
        <v>27</v>
      </c>
      <c r="G33" s="31"/>
      <c r="H33" s="55"/>
      <c r="I33" s="102" t="s">
        <v>589</v>
      </c>
      <c r="J33" s="31"/>
      <c r="K33" s="31"/>
      <c r="L33" s="31"/>
      <c r="M33" s="55"/>
      <c r="N33" s="150" t="s">
        <v>945</v>
      </c>
      <c r="O33" s="31"/>
      <c r="P33" s="31"/>
      <c r="Q33" s="31"/>
      <c r="R33" s="55"/>
    </row>
    <row r="34" spans="1:18" ht="17.25" customHeight="1" x14ac:dyDescent="0.2">
      <c r="A34" s="83" t="s">
        <v>17</v>
      </c>
      <c r="B34" s="30" t="s">
        <v>31</v>
      </c>
      <c r="C34" s="30"/>
      <c r="D34" s="30"/>
      <c r="E34" s="30"/>
      <c r="F34" s="30" t="s">
        <v>27</v>
      </c>
      <c r="G34" s="30" t="s">
        <v>812</v>
      </c>
      <c r="H34" s="120"/>
      <c r="I34" s="102" t="s">
        <v>590</v>
      </c>
      <c r="J34" s="30"/>
      <c r="K34" s="30"/>
      <c r="L34" s="30"/>
      <c r="M34" s="55"/>
      <c r="N34" s="150" t="s">
        <v>946</v>
      </c>
      <c r="O34" s="30"/>
      <c r="P34" s="30"/>
      <c r="Q34" s="30"/>
      <c r="R34" s="55"/>
    </row>
    <row r="35" spans="1:18" ht="17.25" customHeight="1" x14ac:dyDescent="0.2">
      <c r="A35" s="83" t="s">
        <v>17</v>
      </c>
      <c r="B35" s="30" t="s">
        <v>58</v>
      </c>
      <c r="C35" s="30"/>
      <c r="D35" s="30"/>
      <c r="E35" s="30"/>
      <c r="F35" s="30" t="s">
        <v>27</v>
      </c>
      <c r="G35" s="30" t="s">
        <v>814</v>
      </c>
      <c r="H35" s="120"/>
      <c r="I35" s="102" t="s">
        <v>591</v>
      </c>
      <c r="J35" s="30"/>
      <c r="K35" s="30"/>
      <c r="L35" s="30"/>
      <c r="M35" s="55"/>
      <c r="N35" s="150" t="s">
        <v>947</v>
      </c>
      <c r="O35" s="30"/>
      <c r="P35" s="30"/>
      <c r="Q35" s="30"/>
      <c r="R35" s="55"/>
    </row>
    <row r="36" spans="1:18" ht="17.25" customHeight="1" x14ac:dyDescent="0.2">
      <c r="A36" s="44" t="s">
        <v>13</v>
      </c>
      <c r="B36" s="31" t="s">
        <v>70</v>
      </c>
      <c r="C36" s="31"/>
      <c r="D36" s="31" t="s">
        <v>15</v>
      </c>
      <c r="E36" s="31"/>
      <c r="F36" s="31" t="s">
        <v>27</v>
      </c>
      <c r="G36" s="31"/>
      <c r="H36" s="55"/>
      <c r="I36" s="102" t="s">
        <v>592</v>
      </c>
      <c r="J36" s="31" t="s">
        <v>505</v>
      </c>
      <c r="K36" s="31"/>
      <c r="L36" s="31"/>
      <c r="M36" s="55"/>
      <c r="N36" s="150" t="s">
        <v>948</v>
      </c>
      <c r="O36" s="181" t="s">
        <v>949</v>
      </c>
      <c r="P36" s="31"/>
      <c r="Q36" s="31"/>
      <c r="R36" s="55"/>
    </row>
    <row r="37" spans="1:18" ht="17.25" customHeight="1" x14ac:dyDescent="0.2">
      <c r="A37" s="119" t="s">
        <v>21</v>
      </c>
      <c r="B37" s="31"/>
      <c r="C37" s="31"/>
      <c r="D37" s="31"/>
      <c r="E37" s="31"/>
      <c r="F37" s="31"/>
      <c r="G37" s="31"/>
      <c r="H37" s="55"/>
      <c r="I37" s="102"/>
      <c r="J37" s="31"/>
      <c r="K37" s="31"/>
      <c r="L37" s="31"/>
      <c r="M37" s="55"/>
      <c r="N37" s="44"/>
      <c r="O37" s="31"/>
      <c r="P37" s="31"/>
      <c r="Q37" s="31"/>
      <c r="R37" s="55"/>
    </row>
    <row r="38" spans="1:18" ht="17.25" customHeight="1" x14ac:dyDescent="0.2">
      <c r="A38" s="48"/>
      <c r="H38" s="49"/>
      <c r="I38" s="80"/>
      <c r="M38" s="49"/>
      <c r="N38" s="48"/>
      <c r="R38" s="49"/>
    </row>
    <row r="39" spans="1:18" ht="17.25" customHeight="1" x14ac:dyDescent="0.2">
      <c r="A39" s="121" t="s">
        <v>12</v>
      </c>
      <c r="B39" s="5" t="s">
        <v>372</v>
      </c>
      <c r="F39" s="5" t="s">
        <v>27</v>
      </c>
      <c r="H39" s="49"/>
      <c r="I39" s="103" t="s">
        <v>371</v>
      </c>
      <c r="M39" s="49"/>
      <c r="N39" s="56" t="s">
        <v>371</v>
      </c>
      <c r="R39" s="49"/>
    </row>
    <row r="40" spans="1:18" ht="17.25" customHeight="1" x14ac:dyDescent="0.2">
      <c r="A40" s="122" t="s">
        <v>12</v>
      </c>
      <c r="B40" s="34" t="s">
        <v>373</v>
      </c>
      <c r="C40" s="34"/>
      <c r="D40" s="34"/>
      <c r="E40" s="34"/>
      <c r="F40" s="34"/>
      <c r="G40" s="34"/>
      <c r="H40" s="58"/>
      <c r="I40" s="104" t="s">
        <v>374</v>
      </c>
      <c r="J40" s="34"/>
      <c r="K40" s="34"/>
      <c r="L40" s="34"/>
      <c r="M40" s="58"/>
      <c r="N40" s="57" t="s">
        <v>950</v>
      </c>
      <c r="O40" s="34"/>
      <c r="P40" s="34"/>
      <c r="Q40" s="34"/>
      <c r="R40" s="58"/>
    </row>
    <row r="41" spans="1:18" ht="17.25" customHeight="1" x14ac:dyDescent="0.2">
      <c r="A41" s="84" t="s">
        <v>887</v>
      </c>
      <c r="B41" s="32" t="s">
        <v>71</v>
      </c>
      <c r="C41" s="32"/>
      <c r="D41" s="32"/>
      <c r="E41" s="32" t="s">
        <v>16</v>
      </c>
      <c r="F41" s="32"/>
      <c r="G41" s="32" t="s">
        <v>813</v>
      </c>
      <c r="H41" s="123"/>
      <c r="I41" s="105" t="s">
        <v>593</v>
      </c>
      <c r="J41" s="32"/>
      <c r="K41" s="32" t="s">
        <v>72</v>
      </c>
      <c r="L41" s="32"/>
      <c r="M41" s="58"/>
      <c r="N41" s="150" t="s">
        <v>951</v>
      </c>
      <c r="O41" s="32"/>
      <c r="P41" s="182" t="s">
        <v>952</v>
      </c>
      <c r="Q41" s="32"/>
      <c r="R41" s="58"/>
    </row>
    <row r="42" spans="1:18" ht="17.25" customHeight="1" x14ac:dyDescent="0.2">
      <c r="A42" s="124" t="s">
        <v>12</v>
      </c>
      <c r="B42" s="34" t="s">
        <v>876</v>
      </c>
      <c r="C42" s="34"/>
      <c r="D42" s="34"/>
      <c r="E42" s="34"/>
      <c r="F42" s="34"/>
      <c r="G42" s="34"/>
      <c r="H42" s="58" t="s">
        <v>73</v>
      </c>
      <c r="I42" s="105" t="s">
        <v>581</v>
      </c>
      <c r="J42" s="34"/>
      <c r="K42" s="34"/>
      <c r="L42" s="34"/>
      <c r="M42" s="58"/>
      <c r="N42" s="150" t="s">
        <v>953</v>
      </c>
      <c r="O42" s="34"/>
      <c r="P42" s="34"/>
      <c r="Q42" s="34"/>
      <c r="R42" s="58"/>
    </row>
    <row r="43" spans="1:18" ht="17.25" customHeight="1" x14ac:dyDescent="0.2">
      <c r="A43" s="105" t="s">
        <v>82</v>
      </c>
      <c r="B43" s="34" t="s">
        <v>564</v>
      </c>
      <c r="C43" s="34"/>
      <c r="D43" s="34"/>
      <c r="E43" s="34"/>
      <c r="F43" s="34"/>
      <c r="G43" s="34"/>
      <c r="H43" s="58"/>
      <c r="I43" s="105" t="s">
        <v>586</v>
      </c>
      <c r="J43" s="34"/>
      <c r="K43" s="34" t="s">
        <v>577</v>
      </c>
      <c r="L43" s="34"/>
      <c r="M43" s="58"/>
      <c r="N43" s="150" t="s">
        <v>954</v>
      </c>
      <c r="O43" s="34"/>
      <c r="P43" s="181" t="s">
        <v>958</v>
      </c>
      <c r="Q43" s="34"/>
      <c r="R43" s="58"/>
    </row>
    <row r="44" spans="1:18" ht="17.25" customHeight="1" x14ac:dyDescent="0.2">
      <c r="A44" s="59" t="s">
        <v>561</v>
      </c>
      <c r="B44" s="34" t="s">
        <v>418</v>
      </c>
      <c r="C44" s="34"/>
      <c r="D44" s="34"/>
      <c r="E44" s="34" t="s">
        <v>16</v>
      </c>
      <c r="F44" s="34"/>
      <c r="G44" s="34"/>
      <c r="H44" s="58" t="s">
        <v>107</v>
      </c>
      <c r="I44" s="105" t="s">
        <v>417</v>
      </c>
      <c r="J44" s="34"/>
      <c r="K44" s="34"/>
      <c r="L44" s="34"/>
      <c r="M44" s="58"/>
      <c r="N44" s="150" t="s">
        <v>955</v>
      </c>
      <c r="O44" s="34"/>
      <c r="P44" s="34"/>
      <c r="Q44" s="34"/>
      <c r="R44" s="58"/>
    </row>
    <row r="45" spans="1:18" ht="17.25" customHeight="1" x14ac:dyDescent="0.2">
      <c r="A45" s="59" t="s">
        <v>562</v>
      </c>
      <c r="B45" s="34" t="s">
        <v>419</v>
      </c>
      <c r="C45" s="34"/>
      <c r="D45" s="34" t="s">
        <v>583</v>
      </c>
      <c r="E45" s="34" t="s">
        <v>16</v>
      </c>
      <c r="F45" s="32"/>
      <c r="G45" s="34"/>
      <c r="H45" s="58" t="s">
        <v>107</v>
      </c>
      <c r="I45" s="105" t="s">
        <v>77</v>
      </c>
      <c r="J45" s="34" t="s">
        <v>765</v>
      </c>
      <c r="K45" s="34"/>
      <c r="L45" s="34"/>
      <c r="M45" s="58"/>
      <c r="N45" s="150" t="s">
        <v>956</v>
      </c>
      <c r="O45" s="181" t="s">
        <v>959</v>
      </c>
      <c r="P45" s="19"/>
      <c r="Q45" s="34"/>
      <c r="R45" s="58"/>
    </row>
    <row r="46" spans="1:18" ht="17.25" customHeight="1" x14ac:dyDescent="0.2">
      <c r="A46" s="59" t="s">
        <v>563</v>
      </c>
      <c r="B46" s="34" t="s">
        <v>420</v>
      </c>
      <c r="C46" s="34"/>
      <c r="D46" s="34" t="s">
        <v>889</v>
      </c>
      <c r="E46" s="34" t="s">
        <v>16</v>
      </c>
      <c r="F46" s="32"/>
      <c r="G46" s="34"/>
      <c r="H46" s="58" t="s">
        <v>107</v>
      </c>
      <c r="I46" s="105" t="s">
        <v>79</v>
      </c>
      <c r="J46" s="34" t="s">
        <v>765</v>
      </c>
      <c r="K46" s="34"/>
      <c r="L46" s="34"/>
      <c r="M46" s="58"/>
      <c r="N46" s="150" t="s">
        <v>957</v>
      </c>
      <c r="O46" s="181" t="s">
        <v>959</v>
      </c>
      <c r="P46" s="19"/>
      <c r="Q46" s="34"/>
      <c r="R46" s="58"/>
    </row>
    <row r="47" spans="1:18" ht="17.25" customHeight="1" x14ac:dyDescent="0.2">
      <c r="A47" s="124" t="s">
        <v>21</v>
      </c>
      <c r="B47" s="34" t="s">
        <v>876</v>
      </c>
      <c r="C47" s="34"/>
      <c r="D47" s="34"/>
      <c r="E47" s="34"/>
      <c r="F47" s="34"/>
      <c r="G47" s="34"/>
      <c r="H47" s="58"/>
      <c r="I47" s="105"/>
      <c r="J47" s="34"/>
      <c r="K47" s="34"/>
      <c r="L47" s="34"/>
      <c r="M47" s="58"/>
      <c r="N47" s="59"/>
      <c r="O47" s="34"/>
      <c r="P47" s="34"/>
      <c r="Q47" s="34"/>
      <c r="R47" s="58"/>
    </row>
    <row r="48" spans="1:18" ht="17.25" customHeight="1" x14ac:dyDescent="0.2">
      <c r="A48" s="105" t="s">
        <v>11</v>
      </c>
      <c r="B48" s="34" t="s">
        <v>891</v>
      </c>
      <c r="C48" s="34"/>
      <c r="D48" s="34"/>
      <c r="E48" s="34"/>
      <c r="F48" s="34" t="s">
        <v>892</v>
      </c>
      <c r="G48" s="34" t="s">
        <v>893</v>
      </c>
      <c r="H48" s="58"/>
      <c r="I48" s="105"/>
      <c r="J48" s="34"/>
      <c r="K48" s="34"/>
      <c r="L48" s="34"/>
      <c r="M48" s="58"/>
      <c r="N48" s="59"/>
      <c r="O48" s="34"/>
      <c r="P48" s="34"/>
      <c r="Q48" s="34"/>
      <c r="R48" s="58"/>
    </row>
    <row r="49" spans="1:18" ht="17.25" customHeight="1" x14ac:dyDescent="0.2">
      <c r="A49" s="84" t="s">
        <v>13</v>
      </c>
      <c r="B49" s="32" t="s">
        <v>81</v>
      </c>
      <c r="C49" s="32"/>
      <c r="D49" s="33" t="s">
        <v>580</v>
      </c>
      <c r="E49" s="32" t="s">
        <v>16</v>
      </c>
      <c r="F49" s="32" t="s">
        <v>894</v>
      </c>
      <c r="G49" s="32" t="s">
        <v>815</v>
      </c>
      <c r="H49" s="123"/>
      <c r="I49" s="105" t="s">
        <v>594</v>
      </c>
      <c r="J49" s="33" t="s">
        <v>582</v>
      </c>
      <c r="K49" s="32"/>
      <c r="L49" s="32"/>
      <c r="M49" s="58"/>
      <c r="N49" s="150" t="s">
        <v>960</v>
      </c>
      <c r="O49" s="183" t="s">
        <v>961</v>
      </c>
      <c r="P49" s="20"/>
      <c r="Q49" s="20"/>
      <c r="R49" s="58"/>
    </row>
    <row r="50" spans="1:18" ht="17.25" customHeight="1" x14ac:dyDescent="0.2">
      <c r="A50" s="84" t="s">
        <v>11</v>
      </c>
      <c r="B50" s="32" t="s">
        <v>895</v>
      </c>
      <c r="C50" s="32"/>
      <c r="D50" s="33"/>
      <c r="E50" s="32"/>
      <c r="F50" s="32"/>
      <c r="G50" s="32" t="s">
        <v>896</v>
      </c>
      <c r="H50" s="123"/>
      <c r="I50" s="105"/>
      <c r="J50" s="33"/>
      <c r="K50" s="32"/>
      <c r="L50" s="32"/>
      <c r="M50" s="58"/>
      <c r="N50" s="59"/>
      <c r="O50" s="20"/>
      <c r="P50" s="20"/>
      <c r="Q50" s="20"/>
      <c r="R50" s="58"/>
    </row>
    <row r="51" spans="1:18" ht="17.25" customHeight="1" x14ac:dyDescent="0.2">
      <c r="A51" s="84" t="s">
        <v>11</v>
      </c>
      <c r="B51" s="32" t="s">
        <v>911</v>
      </c>
      <c r="C51" s="32"/>
      <c r="D51" s="33"/>
      <c r="E51" s="32"/>
      <c r="F51" s="32"/>
      <c r="G51" s="32" t="s">
        <v>912</v>
      </c>
      <c r="H51" s="123"/>
      <c r="I51" s="105"/>
      <c r="J51" s="33"/>
      <c r="K51" s="32"/>
      <c r="L51" s="32"/>
      <c r="M51" s="58"/>
      <c r="N51" s="59"/>
      <c r="O51" s="20"/>
      <c r="P51" s="20"/>
      <c r="Q51" s="20"/>
      <c r="R51" s="58"/>
    </row>
    <row r="52" spans="1:18" ht="17.25" customHeight="1" x14ac:dyDescent="0.2">
      <c r="A52" s="59" t="s">
        <v>13</v>
      </c>
      <c r="B52" s="34" t="s">
        <v>83</v>
      </c>
      <c r="C52" s="34"/>
      <c r="D52" s="34" t="s">
        <v>410</v>
      </c>
      <c r="E52" s="34" t="s">
        <v>16</v>
      </c>
      <c r="F52" s="34"/>
      <c r="G52" s="34"/>
      <c r="H52" s="58"/>
      <c r="I52" s="105" t="s">
        <v>595</v>
      </c>
      <c r="J52" s="34" t="s">
        <v>405</v>
      </c>
      <c r="K52" s="34" t="s">
        <v>148</v>
      </c>
      <c r="L52" s="34"/>
      <c r="M52" s="58"/>
      <c r="N52" s="189" t="s">
        <v>962</v>
      </c>
      <c r="O52" s="181" t="s">
        <v>963</v>
      </c>
      <c r="P52" s="181" t="s">
        <v>964</v>
      </c>
      <c r="Q52" s="19"/>
      <c r="R52" s="58"/>
    </row>
    <row r="53" spans="1:18" ht="17.25" customHeight="1" x14ac:dyDescent="0.2">
      <c r="A53" s="59" t="s">
        <v>84</v>
      </c>
      <c r="B53" s="34" t="s">
        <v>85</v>
      </c>
      <c r="C53" s="34"/>
      <c r="D53" s="34"/>
      <c r="E53" s="34" t="s">
        <v>16</v>
      </c>
      <c r="F53" s="34"/>
      <c r="G53" s="34"/>
      <c r="H53" s="58"/>
      <c r="I53" s="105" t="s">
        <v>596</v>
      </c>
      <c r="J53" s="34"/>
      <c r="K53" s="34"/>
      <c r="L53" s="34"/>
      <c r="M53" s="58"/>
      <c r="N53" s="150" t="s">
        <v>965</v>
      </c>
      <c r="O53" s="19"/>
      <c r="P53" s="19"/>
      <c r="Q53" s="19"/>
      <c r="R53" s="58"/>
    </row>
    <row r="54" spans="1:18" ht="17.25" customHeight="1" x14ac:dyDescent="0.2">
      <c r="A54" s="59" t="s">
        <v>86</v>
      </c>
      <c r="B54" s="34" t="s">
        <v>88</v>
      </c>
      <c r="C54" s="34"/>
      <c r="D54" s="34"/>
      <c r="E54" s="34" t="s">
        <v>16</v>
      </c>
      <c r="F54" s="34"/>
      <c r="G54" s="34"/>
      <c r="H54" s="58"/>
      <c r="I54" s="105" t="s">
        <v>597</v>
      </c>
      <c r="J54" s="34"/>
      <c r="K54" s="34"/>
      <c r="L54" s="34"/>
      <c r="M54" s="58"/>
      <c r="N54" s="150" t="s">
        <v>966</v>
      </c>
      <c r="O54" s="19"/>
      <c r="P54" s="19"/>
      <c r="Q54" s="19"/>
      <c r="R54" s="58"/>
    </row>
    <row r="55" spans="1:18" ht="17.25" customHeight="1" x14ac:dyDescent="0.2">
      <c r="A55" s="59" t="s">
        <v>91</v>
      </c>
      <c r="B55" s="34" t="s">
        <v>93</v>
      </c>
      <c r="C55" s="34"/>
      <c r="D55" s="34"/>
      <c r="E55" s="34" t="s">
        <v>16</v>
      </c>
      <c r="F55" s="34"/>
      <c r="G55" s="34"/>
      <c r="H55" s="58"/>
      <c r="I55" s="105" t="s">
        <v>598</v>
      </c>
      <c r="J55" s="34"/>
      <c r="K55" s="34"/>
      <c r="L55" s="34"/>
      <c r="M55" s="58"/>
      <c r="N55" s="150" t="s">
        <v>967</v>
      </c>
      <c r="O55" s="19"/>
      <c r="P55" s="19"/>
      <c r="Q55" s="19"/>
      <c r="R55" s="58"/>
    </row>
    <row r="56" spans="1:18" ht="17.25" customHeight="1" x14ac:dyDescent="0.2">
      <c r="A56" s="59" t="s">
        <v>96</v>
      </c>
      <c r="B56" s="34" t="s">
        <v>97</v>
      </c>
      <c r="C56" s="34"/>
      <c r="D56" s="34"/>
      <c r="E56" s="34" t="s">
        <v>16</v>
      </c>
      <c r="F56" s="34"/>
      <c r="G56" s="34"/>
      <c r="H56" s="58"/>
      <c r="I56" s="105" t="s">
        <v>599</v>
      </c>
      <c r="J56" s="34"/>
      <c r="K56" s="34"/>
      <c r="L56" s="34"/>
      <c r="M56" s="58"/>
      <c r="N56" s="150" t="s">
        <v>968</v>
      </c>
      <c r="O56" s="19"/>
      <c r="P56" s="21"/>
      <c r="Q56" s="19"/>
      <c r="R56" s="58"/>
    </row>
    <row r="57" spans="1:18" ht="17.25" customHeight="1" x14ac:dyDescent="0.2">
      <c r="A57" s="59" t="s">
        <v>13</v>
      </c>
      <c r="B57" s="34" t="s">
        <v>102</v>
      </c>
      <c r="C57" s="34"/>
      <c r="D57" s="34" t="s">
        <v>584</v>
      </c>
      <c r="E57" s="34" t="s">
        <v>16</v>
      </c>
      <c r="F57" s="34"/>
      <c r="G57" s="34"/>
      <c r="H57" s="58" t="s">
        <v>107</v>
      </c>
      <c r="I57" s="105" t="s">
        <v>874</v>
      </c>
      <c r="J57" s="34" t="s">
        <v>585</v>
      </c>
      <c r="K57" s="34" t="s">
        <v>527</v>
      </c>
      <c r="L57" s="34"/>
      <c r="M57" s="58"/>
      <c r="N57" s="150" t="s">
        <v>969</v>
      </c>
      <c r="O57" s="181" t="s">
        <v>970</v>
      </c>
      <c r="P57" s="181" t="s">
        <v>971</v>
      </c>
      <c r="Q57" s="19"/>
      <c r="R57" s="58"/>
    </row>
    <row r="58" spans="1:18" ht="17.25" customHeight="1" x14ac:dyDescent="0.2">
      <c r="A58" s="122" t="s">
        <v>21</v>
      </c>
      <c r="B58" s="34"/>
      <c r="C58" s="34"/>
      <c r="D58" s="34"/>
      <c r="E58" s="34"/>
      <c r="F58" s="34"/>
      <c r="G58" s="34"/>
      <c r="H58" s="58"/>
      <c r="I58" s="105"/>
      <c r="J58" s="34"/>
      <c r="K58" s="34"/>
      <c r="L58" s="34"/>
      <c r="M58" s="58"/>
      <c r="N58" s="59"/>
      <c r="O58" s="34"/>
      <c r="P58" s="34"/>
      <c r="Q58" s="34"/>
      <c r="R58" s="58"/>
    </row>
    <row r="59" spans="1:18" ht="17.25" customHeight="1" x14ac:dyDescent="0.2">
      <c r="A59" s="48"/>
      <c r="H59" s="49"/>
      <c r="I59" s="80"/>
      <c r="M59" s="49"/>
      <c r="N59" s="48"/>
      <c r="R59" s="49"/>
    </row>
    <row r="60" spans="1:18" ht="17.25" customHeight="1" x14ac:dyDescent="0.2">
      <c r="A60" s="117" t="s">
        <v>12</v>
      </c>
      <c r="B60" s="35" t="s">
        <v>375</v>
      </c>
      <c r="C60" s="35"/>
      <c r="D60" s="35"/>
      <c r="E60" s="35"/>
      <c r="F60" s="35"/>
      <c r="G60" s="35"/>
      <c r="H60" s="52"/>
      <c r="I60" s="106" t="s">
        <v>376</v>
      </c>
      <c r="J60" s="35"/>
      <c r="K60" s="35"/>
      <c r="L60" s="35"/>
      <c r="M60" s="52"/>
      <c r="N60" s="60" t="s">
        <v>972</v>
      </c>
      <c r="O60" s="22"/>
      <c r="P60" s="22"/>
      <c r="Q60" s="22"/>
      <c r="R60" s="52"/>
    </row>
    <row r="61" spans="1:18" ht="17.25" customHeight="1" x14ac:dyDescent="0.2">
      <c r="A61" s="51" t="s">
        <v>82</v>
      </c>
      <c r="B61" s="35" t="s">
        <v>137</v>
      </c>
      <c r="C61" s="35"/>
      <c r="D61" s="35"/>
      <c r="E61" s="35"/>
      <c r="F61" s="35"/>
      <c r="G61" s="35"/>
      <c r="H61" s="52"/>
      <c r="I61" s="101" t="s">
        <v>139</v>
      </c>
      <c r="J61" s="35"/>
      <c r="K61" s="35"/>
      <c r="L61" s="35"/>
      <c r="M61" s="52"/>
      <c r="N61" s="150" t="s">
        <v>973</v>
      </c>
      <c r="O61" s="22"/>
      <c r="P61" s="22"/>
      <c r="Q61" s="22"/>
      <c r="R61" s="52"/>
    </row>
    <row r="62" spans="1:18" ht="17.25" customHeight="1" x14ac:dyDescent="0.2">
      <c r="A62" s="51"/>
      <c r="B62" s="35"/>
      <c r="C62" s="35"/>
      <c r="D62" s="35"/>
      <c r="E62" s="35"/>
      <c r="F62" s="35"/>
      <c r="G62" s="35"/>
      <c r="H62" s="52"/>
      <c r="I62" s="101"/>
      <c r="J62" s="35"/>
      <c r="K62" s="35"/>
      <c r="L62" s="35"/>
      <c r="M62" s="52"/>
      <c r="N62" s="51"/>
      <c r="O62" s="22"/>
      <c r="P62" s="22"/>
      <c r="Q62" s="22"/>
      <c r="R62" s="52"/>
    </row>
    <row r="63" spans="1:18" ht="17.25" customHeight="1" x14ac:dyDescent="0.2">
      <c r="A63" s="125" t="s">
        <v>12</v>
      </c>
      <c r="B63" s="35" t="s">
        <v>526</v>
      </c>
      <c r="C63" s="35"/>
      <c r="D63" s="35"/>
      <c r="E63" s="35"/>
      <c r="F63" s="35"/>
      <c r="G63" s="35"/>
      <c r="H63" s="52" t="s">
        <v>73</v>
      </c>
      <c r="I63" s="101"/>
      <c r="J63" s="35"/>
      <c r="K63" s="35"/>
      <c r="L63" s="35"/>
      <c r="M63" s="52"/>
      <c r="N63" s="51"/>
      <c r="O63" s="22"/>
      <c r="P63" s="22"/>
      <c r="Q63" s="22"/>
      <c r="R63" s="52"/>
    </row>
    <row r="64" spans="1:18" ht="16.5" customHeight="1" x14ac:dyDescent="0.2">
      <c r="A64" s="51" t="s">
        <v>885</v>
      </c>
      <c r="B64" s="35" t="s">
        <v>142</v>
      </c>
      <c r="C64" s="35"/>
      <c r="D64" s="35"/>
      <c r="E64" s="35" t="s">
        <v>16</v>
      </c>
      <c r="F64" s="35"/>
      <c r="G64" s="35"/>
      <c r="H64" s="52"/>
      <c r="I64" s="101" t="s">
        <v>600</v>
      </c>
      <c r="J64" s="35"/>
      <c r="K64" s="35"/>
      <c r="L64" s="35"/>
      <c r="M64" s="52"/>
      <c r="N64" s="150" t="s">
        <v>974</v>
      </c>
      <c r="O64" s="22"/>
      <c r="P64" s="22"/>
      <c r="Q64" s="22"/>
      <c r="R64" s="52"/>
    </row>
    <row r="65" spans="1:18" ht="16.5" customHeight="1" x14ac:dyDescent="0.2">
      <c r="A65" s="51" t="s">
        <v>82</v>
      </c>
      <c r="B65" s="35" t="s">
        <v>517</v>
      </c>
      <c r="C65" s="35"/>
      <c r="D65" s="35"/>
      <c r="E65" s="35"/>
      <c r="F65" s="35"/>
      <c r="G65" s="35"/>
      <c r="H65" s="52"/>
      <c r="I65" s="101" t="s">
        <v>518</v>
      </c>
      <c r="J65" s="35"/>
      <c r="K65" s="35"/>
      <c r="L65" s="35"/>
      <c r="M65" s="52" t="s">
        <v>770</v>
      </c>
      <c r="N65" s="95" t="s">
        <v>518</v>
      </c>
      <c r="O65" s="22"/>
      <c r="P65" s="22"/>
      <c r="Q65" s="22"/>
      <c r="R65" s="52" t="s">
        <v>770</v>
      </c>
    </row>
    <row r="66" spans="1:18" ht="16.5" customHeight="1" x14ac:dyDescent="0.2">
      <c r="A66" s="125" t="s">
        <v>21</v>
      </c>
      <c r="B66" s="35"/>
      <c r="C66" s="35"/>
      <c r="D66" s="35"/>
      <c r="E66" s="35"/>
      <c r="F66" s="35"/>
      <c r="G66" s="35"/>
      <c r="H66" s="52"/>
      <c r="I66" s="101"/>
      <c r="J66" s="35"/>
      <c r="K66" s="35"/>
      <c r="L66" s="35"/>
      <c r="M66" s="52"/>
      <c r="N66" s="51"/>
      <c r="O66" s="22"/>
      <c r="P66" s="22"/>
      <c r="Q66" s="22"/>
      <c r="R66" s="52"/>
    </row>
    <row r="67" spans="1:18" ht="17.25" customHeight="1" x14ac:dyDescent="0.2">
      <c r="A67" s="51" t="s">
        <v>885</v>
      </c>
      <c r="B67" s="35" t="s">
        <v>144</v>
      </c>
      <c r="C67" s="35"/>
      <c r="D67" s="35"/>
      <c r="E67" s="35" t="s">
        <v>16</v>
      </c>
      <c r="F67" s="35" t="s">
        <v>145</v>
      </c>
      <c r="G67" s="35"/>
      <c r="H67" s="52"/>
      <c r="I67" s="101" t="s">
        <v>601</v>
      </c>
      <c r="J67" s="35"/>
      <c r="K67" s="35"/>
      <c r="L67" s="35"/>
      <c r="M67" s="52"/>
      <c r="N67" s="150" t="s">
        <v>975</v>
      </c>
      <c r="O67" s="22"/>
      <c r="P67" s="22"/>
      <c r="Q67" s="22"/>
      <c r="R67" s="52"/>
    </row>
    <row r="68" spans="1:18" ht="17.25" customHeight="1" x14ac:dyDescent="0.2">
      <c r="A68" s="51" t="s">
        <v>13</v>
      </c>
      <c r="B68" s="35" t="s">
        <v>146</v>
      </c>
      <c r="C68" s="35"/>
      <c r="D68" s="35" t="s">
        <v>902</v>
      </c>
      <c r="E68" s="35" t="s">
        <v>16</v>
      </c>
      <c r="F68" s="35" t="s">
        <v>145</v>
      </c>
      <c r="G68" s="35"/>
      <c r="H68" s="52"/>
      <c r="I68" s="101" t="s">
        <v>602</v>
      </c>
      <c r="J68" s="35" t="s">
        <v>640</v>
      </c>
      <c r="K68" s="35" t="s">
        <v>148</v>
      </c>
      <c r="L68" s="35"/>
      <c r="M68" s="52"/>
      <c r="N68" s="150" t="s">
        <v>976</v>
      </c>
      <c r="O68" s="181" t="s">
        <v>977</v>
      </c>
      <c r="P68" s="181" t="s">
        <v>978</v>
      </c>
      <c r="Q68" s="22"/>
      <c r="R68" s="52"/>
    </row>
    <row r="69" spans="1:18" ht="17.25" customHeight="1" x14ac:dyDescent="0.2">
      <c r="A69" s="125" t="s">
        <v>12</v>
      </c>
      <c r="B69" s="35" t="s">
        <v>151</v>
      </c>
      <c r="C69" s="35"/>
      <c r="D69" s="35"/>
      <c r="E69" s="35"/>
      <c r="F69" s="35" t="s">
        <v>153</v>
      </c>
      <c r="G69" s="35"/>
      <c r="H69" s="52" t="s">
        <v>73</v>
      </c>
      <c r="I69" s="101"/>
      <c r="J69" s="35"/>
      <c r="K69" s="35"/>
      <c r="L69" s="35"/>
      <c r="M69" s="52"/>
      <c r="N69" s="51"/>
      <c r="O69" s="22"/>
      <c r="P69" s="22"/>
      <c r="Q69" s="22"/>
      <c r="R69" s="52"/>
    </row>
    <row r="70" spans="1:18" ht="17.25" customHeight="1" x14ac:dyDescent="0.2">
      <c r="A70" s="51" t="s">
        <v>13</v>
      </c>
      <c r="B70" s="35" t="s">
        <v>154</v>
      </c>
      <c r="C70" s="35"/>
      <c r="D70" s="47"/>
      <c r="E70" s="35"/>
      <c r="F70" s="35"/>
      <c r="G70" s="35"/>
      <c r="H70" s="52"/>
      <c r="I70" s="101" t="s">
        <v>603</v>
      </c>
      <c r="J70" s="35"/>
      <c r="K70" s="35" t="s">
        <v>904</v>
      </c>
      <c r="L70" s="35"/>
      <c r="M70" s="52"/>
      <c r="N70" s="150" t="s">
        <v>979</v>
      </c>
      <c r="O70" s="22"/>
      <c r="P70" s="181" t="s">
        <v>980</v>
      </c>
      <c r="Q70" s="22"/>
      <c r="R70" s="52"/>
    </row>
    <row r="71" spans="1:18" ht="17.25" customHeight="1" x14ac:dyDescent="0.2">
      <c r="A71" s="51" t="s">
        <v>155</v>
      </c>
      <c r="B71" s="35" t="s">
        <v>156</v>
      </c>
      <c r="C71" s="35"/>
      <c r="D71" s="35" t="s">
        <v>903</v>
      </c>
      <c r="E71" s="35" t="s">
        <v>16</v>
      </c>
      <c r="F71" s="35"/>
      <c r="G71" s="35"/>
      <c r="H71" s="52"/>
      <c r="I71" s="101" t="s">
        <v>424</v>
      </c>
      <c r="J71" s="35"/>
      <c r="K71" s="35"/>
      <c r="L71" s="35"/>
      <c r="M71" s="52"/>
      <c r="N71" s="184" t="s">
        <v>981</v>
      </c>
      <c r="O71" s="22"/>
      <c r="P71" s="22"/>
      <c r="Q71" s="22"/>
      <c r="R71" s="52"/>
    </row>
    <row r="72" spans="1:18" ht="17.25" customHeight="1" x14ac:dyDescent="0.2">
      <c r="A72" s="125" t="s">
        <v>21</v>
      </c>
      <c r="B72" s="35"/>
      <c r="C72" s="35"/>
      <c r="D72" s="35"/>
      <c r="E72" s="35"/>
      <c r="F72" s="35"/>
      <c r="G72" s="35"/>
      <c r="H72" s="52"/>
      <c r="I72" s="101"/>
      <c r="J72" s="35"/>
      <c r="K72" s="35"/>
      <c r="L72" s="35"/>
      <c r="M72" s="52"/>
      <c r="N72" s="51"/>
      <c r="O72" s="22"/>
      <c r="P72" s="22"/>
      <c r="Q72" s="22"/>
      <c r="R72" s="52"/>
    </row>
    <row r="73" spans="1:18" ht="17.25" customHeight="1" x14ac:dyDescent="0.2">
      <c r="A73" s="51" t="s">
        <v>13</v>
      </c>
      <c r="B73" s="35" t="s">
        <v>159</v>
      </c>
      <c r="C73" s="35"/>
      <c r="D73" s="35" t="s">
        <v>435</v>
      </c>
      <c r="E73" s="35" t="s">
        <v>16</v>
      </c>
      <c r="F73" s="35" t="s">
        <v>160</v>
      </c>
      <c r="G73" s="35"/>
      <c r="H73" s="52"/>
      <c r="I73" s="101" t="s">
        <v>604</v>
      </c>
      <c r="J73" s="35" t="s">
        <v>503</v>
      </c>
      <c r="K73" s="35" t="s">
        <v>437</v>
      </c>
      <c r="L73" s="35"/>
      <c r="M73" s="52"/>
      <c r="N73" s="150" t="s">
        <v>987</v>
      </c>
      <c r="O73" s="181" t="s">
        <v>503</v>
      </c>
      <c r="P73" s="181" t="s">
        <v>437</v>
      </c>
      <c r="Q73" s="22"/>
      <c r="R73" s="52"/>
    </row>
    <row r="74" spans="1:18" ht="17.25" customHeight="1" x14ac:dyDescent="0.2">
      <c r="A74" s="51" t="s">
        <v>13</v>
      </c>
      <c r="B74" s="35" t="s">
        <v>161</v>
      </c>
      <c r="C74" s="35"/>
      <c r="D74" s="35" t="s">
        <v>436</v>
      </c>
      <c r="E74" s="35" t="s">
        <v>16</v>
      </c>
      <c r="F74" s="35" t="s">
        <v>162</v>
      </c>
      <c r="G74" s="35"/>
      <c r="H74" s="52"/>
      <c r="I74" s="101" t="s">
        <v>605</v>
      </c>
      <c r="J74" s="35" t="s">
        <v>504</v>
      </c>
      <c r="K74" s="35" t="s">
        <v>458</v>
      </c>
      <c r="L74" s="35"/>
      <c r="M74" s="52"/>
      <c r="N74" s="150" t="s">
        <v>982</v>
      </c>
      <c r="O74" s="181" t="s">
        <v>504</v>
      </c>
      <c r="P74" s="181" t="s">
        <v>458</v>
      </c>
      <c r="Q74" s="22"/>
      <c r="R74" s="52"/>
    </row>
    <row r="75" spans="1:18" ht="17.25" customHeight="1" x14ac:dyDescent="0.2">
      <c r="A75" s="51" t="s">
        <v>13</v>
      </c>
      <c r="B75" s="35" t="s">
        <v>163</v>
      </c>
      <c r="C75" s="35"/>
      <c r="D75" s="35" t="s">
        <v>435</v>
      </c>
      <c r="E75" s="35" t="s">
        <v>16</v>
      </c>
      <c r="F75" s="35" t="s">
        <v>160</v>
      </c>
      <c r="G75" s="35"/>
      <c r="H75" s="52"/>
      <c r="I75" s="101" t="s">
        <v>606</v>
      </c>
      <c r="J75" s="35" t="s">
        <v>503</v>
      </c>
      <c r="K75" s="35" t="s">
        <v>438</v>
      </c>
      <c r="L75" s="35"/>
      <c r="M75" s="52"/>
      <c r="N75" s="150" t="s">
        <v>988</v>
      </c>
      <c r="O75" s="181" t="s">
        <v>503</v>
      </c>
      <c r="P75" s="181" t="s">
        <v>438</v>
      </c>
      <c r="Q75" s="22"/>
      <c r="R75" s="52"/>
    </row>
    <row r="76" spans="1:18" ht="17.25" customHeight="1" x14ac:dyDescent="0.2">
      <c r="A76" s="51" t="s">
        <v>13</v>
      </c>
      <c r="B76" s="35" t="s">
        <v>164</v>
      </c>
      <c r="C76" s="35"/>
      <c r="D76" s="35" t="s">
        <v>436</v>
      </c>
      <c r="E76" s="35" t="s">
        <v>16</v>
      </c>
      <c r="F76" s="35" t="s">
        <v>165</v>
      </c>
      <c r="G76" s="35"/>
      <c r="H76" s="52"/>
      <c r="I76" s="101" t="s">
        <v>607</v>
      </c>
      <c r="J76" s="35" t="s">
        <v>504</v>
      </c>
      <c r="K76" s="35" t="s">
        <v>439</v>
      </c>
      <c r="L76" s="35"/>
      <c r="M76" s="52"/>
      <c r="N76" s="150" t="s">
        <v>989</v>
      </c>
      <c r="O76" s="181" t="s">
        <v>504</v>
      </c>
      <c r="P76" s="181" t="s">
        <v>439</v>
      </c>
      <c r="Q76" s="22"/>
      <c r="R76" s="52"/>
    </row>
    <row r="77" spans="1:18" ht="17.25" customHeight="1" x14ac:dyDescent="0.2">
      <c r="A77" s="51" t="s">
        <v>13</v>
      </c>
      <c r="B77" s="35" t="s">
        <v>166</v>
      </c>
      <c r="C77" s="35"/>
      <c r="D77" s="35" t="s">
        <v>435</v>
      </c>
      <c r="E77" s="35" t="s">
        <v>16</v>
      </c>
      <c r="F77" s="35" t="s">
        <v>160</v>
      </c>
      <c r="G77" s="35"/>
      <c r="H77" s="52"/>
      <c r="I77" s="101" t="s">
        <v>608</v>
      </c>
      <c r="J77" s="35" t="s">
        <v>503</v>
      </c>
      <c r="K77" s="35" t="s">
        <v>440</v>
      </c>
      <c r="L77" s="35"/>
      <c r="M77" s="52"/>
      <c r="N77" s="150" t="s">
        <v>983</v>
      </c>
      <c r="O77" s="181" t="s">
        <v>503</v>
      </c>
      <c r="P77" s="181" t="s">
        <v>440</v>
      </c>
      <c r="Q77" s="22"/>
      <c r="R77" s="52"/>
    </row>
    <row r="78" spans="1:18" ht="17.25" customHeight="1" x14ac:dyDescent="0.2">
      <c r="A78" s="51" t="s">
        <v>13</v>
      </c>
      <c r="B78" s="35" t="s">
        <v>167</v>
      </c>
      <c r="C78" s="35"/>
      <c r="D78" s="35" t="s">
        <v>436</v>
      </c>
      <c r="E78" s="35" t="s">
        <v>16</v>
      </c>
      <c r="F78" s="35" t="s">
        <v>168</v>
      </c>
      <c r="G78" s="35"/>
      <c r="H78" s="52"/>
      <c r="I78" s="101" t="s">
        <v>609</v>
      </c>
      <c r="J78" s="35" t="s">
        <v>504</v>
      </c>
      <c r="K78" s="35" t="s">
        <v>441</v>
      </c>
      <c r="L78" s="35"/>
      <c r="M78" s="52"/>
      <c r="N78" s="150" t="s">
        <v>984</v>
      </c>
      <c r="O78" s="181" t="s">
        <v>504</v>
      </c>
      <c r="P78" s="181" t="s">
        <v>441</v>
      </c>
      <c r="Q78" s="22"/>
      <c r="R78" s="52"/>
    </row>
    <row r="79" spans="1:18" ht="17.25" customHeight="1" x14ac:dyDescent="0.2">
      <c r="A79" s="51" t="s">
        <v>13</v>
      </c>
      <c r="B79" s="35" t="s">
        <v>169</v>
      </c>
      <c r="C79" s="35"/>
      <c r="D79" s="35" t="s">
        <v>435</v>
      </c>
      <c r="E79" s="35" t="s">
        <v>16</v>
      </c>
      <c r="F79" s="35" t="s">
        <v>160</v>
      </c>
      <c r="G79" s="35"/>
      <c r="H79" s="52"/>
      <c r="I79" s="101" t="s">
        <v>610</v>
      </c>
      <c r="J79" s="35" t="s">
        <v>503</v>
      </c>
      <c r="K79" s="35" t="s">
        <v>442</v>
      </c>
      <c r="L79" s="35"/>
      <c r="M79" s="52"/>
      <c r="N79" s="150" t="s">
        <v>985</v>
      </c>
      <c r="O79" s="181" t="s">
        <v>503</v>
      </c>
      <c r="P79" s="181" t="s">
        <v>442</v>
      </c>
      <c r="Q79" s="22"/>
      <c r="R79" s="52"/>
    </row>
    <row r="80" spans="1:18" ht="17.25" customHeight="1" x14ac:dyDescent="0.2">
      <c r="A80" s="51" t="s">
        <v>13</v>
      </c>
      <c r="B80" s="35" t="s">
        <v>170</v>
      </c>
      <c r="C80" s="35"/>
      <c r="D80" s="35" t="s">
        <v>436</v>
      </c>
      <c r="E80" s="35" t="s">
        <v>16</v>
      </c>
      <c r="F80" s="35" t="s">
        <v>171</v>
      </c>
      <c r="G80" s="35"/>
      <c r="H80" s="52"/>
      <c r="I80" s="101" t="s">
        <v>611</v>
      </c>
      <c r="J80" s="35" t="s">
        <v>504</v>
      </c>
      <c r="K80" s="35" t="s">
        <v>443</v>
      </c>
      <c r="L80" s="35"/>
      <c r="M80" s="52"/>
      <c r="N80" s="150" t="s">
        <v>986</v>
      </c>
      <c r="O80" s="181" t="s">
        <v>504</v>
      </c>
      <c r="P80" s="181" t="s">
        <v>443</v>
      </c>
      <c r="Q80" s="22"/>
      <c r="R80" s="52"/>
    </row>
    <row r="81" spans="1:18" ht="17.25" customHeight="1" x14ac:dyDescent="0.2">
      <c r="A81" s="51" t="s">
        <v>13</v>
      </c>
      <c r="B81" s="35" t="s">
        <v>172</v>
      </c>
      <c r="C81" s="35"/>
      <c r="D81" s="35" t="s">
        <v>435</v>
      </c>
      <c r="E81" s="35" t="s">
        <v>16</v>
      </c>
      <c r="F81" s="35" t="s">
        <v>160</v>
      </c>
      <c r="G81" s="35"/>
      <c r="H81" s="52"/>
      <c r="I81" s="101" t="s">
        <v>612</v>
      </c>
      <c r="J81" s="35" t="s">
        <v>503</v>
      </c>
      <c r="K81" s="35" t="s">
        <v>444</v>
      </c>
      <c r="L81" s="35"/>
      <c r="M81" s="52"/>
      <c r="N81" s="150" t="s">
        <v>990</v>
      </c>
      <c r="O81" s="181" t="s">
        <v>503</v>
      </c>
      <c r="P81" s="181" t="s">
        <v>444</v>
      </c>
      <c r="Q81" s="22"/>
      <c r="R81" s="52"/>
    </row>
    <row r="82" spans="1:18" ht="17.25" customHeight="1" x14ac:dyDescent="0.2">
      <c r="A82" s="51" t="s">
        <v>13</v>
      </c>
      <c r="B82" s="35" t="s">
        <v>173</v>
      </c>
      <c r="C82" s="35"/>
      <c r="D82" s="35" t="s">
        <v>436</v>
      </c>
      <c r="E82" s="35" t="s">
        <v>16</v>
      </c>
      <c r="F82" s="35" t="s">
        <v>174</v>
      </c>
      <c r="G82" s="35"/>
      <c r="H82" s="52"/>
      <c r="I82" s="101" t="s">
        <v>613</v>
      </c>
      <c r="J82" s="35" t="s">
        <v>504</v>
      </c>
      <c r="K82" s="35" t="s">
        <v>445</v>
      </c>
      <c r="L82" s="35"/>
      <c r="M82" s="52"/>
      <c r="N82" s="150" t="s">
        <v>991</v>
      </c>
      <c r="O82" s="181" t="s">
        <v>504</v>
      </c>
      <c r="P82" s="181" t="s">
        <v>445</v>
      </c>
      <c r="Q82" s="22"/>
      <c r="R82" s="52"/>
    </row>
    <row r="83" spans="1:18" ht="17.25" customHeight="1" x14ac:dyDescent="0.2">
      <c r="A83" s="51" t="s">
        <v>13</v>
      </c>
      <c r="B83" s="35" t="s">
        <v>176</v>
      </c>
      <c r="C83" s="35"/>
      <c r="D83" s="35" t="s">
        <v>435</v>
      </c>
      <c r="E83" s="35" t="s">
        <v>16</v>
      </c>
      <c r="F83" s="35" t="s">
        <v>160</v>
      </c>
      <c r="G83" s="35"/>
      <c r="H83" s="52"/>
      <c r="I83" s="101" t="s">
        <v>614</v>
      </c>
      <c r="J83" s="35" t="s">
        <v>503</v>
      </c>
      <c r="K83" s="35" t="s">
        <v>446</v>
      </c>
      <c r="L83" s="35"/>
      <c r="M83" s="52"/>
      <c r="N83" s="150" t="s">
        <v>992</v>
      </c>
      <c r="O83" s="181" t="s">
        <v>503</v>
      </c>
      <c r="P83" s="181" t="s">
        <v>446</v>
      </c>
      <c r="Q83" s="22"/>
      <c r="R83" s="52"/>
    </row>
    <row r="84" spans="1:18" ht="17.25" customHeight="1" x14ac:dyDescent="0.2">
      <c r="A84" s="51" t="s">
        <v>13</v>
      </c>
      <c r="B84" s="35" t="s">
        <v>177</v>
      </c>
      <c r="C84" s="35"/>
      <c r="D84" s="35" t="s">
        <v>436</v>
      </c>
      <c r="E84" s="35" t="s">
        <v>16</v>
      </c>
      <c r="F84" s="35" t="s">
        <v>368</v>
      </c>
      <c r="G84" s="35"/>
      <c r="H84" s="52"/>
      <c r="I84" s="101" t="s">
        <v>615</v>
      </c>
      <c r="J84" s="35" t="s">
        <v>504</v>
      </c>
      <c r="K84" s="35" t="s">
        <v>447</v>
      </c>
      <c r="L84" s="35"/>
      <c r="M84" s="52"/>
      <c r="N84" s="150" t="s">
        <v>993</v>
      </c>
      <c r="O84" s="181" t="s">
        <v>504</v>
      </c>
      <c r="P84" s="181" t="s">
        <v>447</v>
      </c>
      <c r="Q84" s="22"/>
      <c r="R84" s="52"/>
    </row>
    <row r="85" spans="1:18" ht="17.25" customHeight="1" x14ac:dyDescent="0.2">
      <c r="A85" s="51" t="s">
        <v>17</v>
      </c>
      <c r="B85" s="35" t="s">
        <v>175</v>
      </c>
      <c r="C85" s="35"/>
      <c r="D85" s="35"/>
      <c r="E85" s="35" t="s">
        <v>16</v>
      </c>
      <c r="F85" s="35" t="s">
        <v>369</v>
      </c>
      <c r="G85" s="35"/>
      <c r="H85" s="52"/>
      <c r="I85" s="101" t="s">
        <v>616</v>
      </c>
      <c r="J85" s="35"/>
      <c r="K85" s="35"/>
      <c r="L85" s="35"/>
      <c r="M85" s="52"/>
      <c r="N85" s="150" t="s">
        <v>994</v>
      </c>
      <c r="O85" s="22"/>
      <c r="P85" s="22"/>
      <c r="Q85" s="22"/>
      <c r="R85" s="52"/>
    </row>
    <row r="86" spans="1:18" ht="17.25" customHeight="1" x14ac:dyDescent="0.2">
      <c r="A86" s="51" t="s">
        <v>885</v>
      </c>
      <c r="B86" s="35" t="s">
        <v>178</v>
      </c>
      <c r="C86" s="35"/>
      <c r="D86" s="35"/>
      <c r="E86" s="35" t="s">
        <v>16</v>
      </c>
      <c r="F86" s="35" t="s">
        <v>145</v>
      </c>
      <c r="G86" s="35"/>
      <c r="H86" s="52"/>
      <c r="I86" s="101" t="s">
        <v>617</v>
      </c>
      <c r="J86" s="35"/>
      <c r="K86" s="35"/>
      <c r="L86" s="35"/>
      <c r="M86" s="52"/>
      <c r="N86" s="150" t="s">
        <v>995</v>
      </c>
      <c r="O86" s="22"/>
      <c r="P86" s="22"/>
      <c r="Q86" s="22"/>
      <c r="R86" s="52"/>
    </row>
    <row r="87" spans="1:18" ht="17.25" customHeight="1" x14ac:dyDescent="0.2">
      <c r="A87" s="51" t="s">
        <v>179</v>
      </c>
      <c r="B87" s="35" t="s">
        <v>180</v>
      </c>
      <c r="C87" s="35"/>
      <c r="D87" s="35"/>
      <c r="E87" s="35" t="s">
        <v>16</v>
      </c>
      <c r="F87" s="35" t="s">
        <v>145</v>
      </c>
      <c r="G87" s="35"/>
      <c r="H87" s="52"/>
      <c r="I87" s="101" t="s">
        <v>618</v>
      </c>
      <c r="J87" s="35"/>
      <c r="K87" s="35"/>
      <c r="L87" s="35"/>
      <c r="M87" s="52"/>
      <c r="N87" s="150" t="s">
        <v>996</v>
      </c>
      <c r="O87" s="22"/>
      <c r="P87" s="22"/>
      <c r="Q87" s="22"/>
      <c r="R87" s="52"/>
    </row>
    <row r="88" spans="1:18" ht="17.25" customHeight="1" x14ac:dyDescent="0.2">
      <c r="A88" s="51" t="s">
        <v>885</v>
      </c>
      <c r="B88" s="35" t="s">
        <v>181</v>
      </c>
      <c r="C88" s="35"/>
      <c r="D88" s="35"/>
      <c r="E88" s="35" t="s">
        <v>16</v>
      </c>
      <c r="F88" s="35" t="s">
        <v>182</v>
      </c>
      <c r="G88" s="35"/>
      <c r="H88" s="52"/>
      <c r="I88" s="101" t="s">
        <v>619</v>
      </c>
      <c r="J88" s="35"/>
      <c r="K88" s="35"/>
      <c r="L88" s="35"/>
      <c r="M88" s="52"/>
      <c r="N88" s="150" t="s">
        <v>997</v>
      </c>
      <c r="O88" s="22"/>
      <c r="P88" s="35"/>
      <c r="Q88" s="22"/>
      <c r="R88" s="52"/>
    </row>
    <row r="89" spans="1:18" ht="17.25" customHeight="1" x14ac:dyDescent="0.2">
      <c r="A89" s="51" t="s">
        <v>885</v>
      </c>
      <c r="B89" s="35" t="s">
        <v>183</v>
      </c>
      <c r="C89" s="35"/>
      <c r="D89" s="35"/>
      <c r="E89" s="35" t="s">
        <v>16</v>
      </c>
      <c r="F89" s="35" t="s">
        <v>184</v>
      </c>
      <c r="G89" s="35"/>
      <c r="H89" s="52"/>
      <c r="I89" s="101" t="s">
        <v>620</v>
      </c>
      <c r="J89" s="35"/>
      <c r="K89" s="35"/>
      <c r="L89" s="35"/>
      <c r="M89" s="52"/>
      <c r="N89" s="150" t="s">
        <v>998</v>
      </c>
      <c r="O89" s="22"/>
      <c r="P89" s="22"/>
      <c r="Q89" s="22"/>
      <c r="R89" s="52"/>
    </row>
    <row r="90" spans="1:18" ht="17.25" customHeight="1" x14ac:dyDescent="0.2">
      <c r="A90" s="51" t="s">
        <v>13</v>
      </c>
      <c r="B90" s="35" t="s">
        <v>185</v>
      </c>
      <c r="C90" s="35"/>
      <c r="D90" s="35" t="s">
        <v>902</v>
      </c>
      <c r="E90" s="35" t="s">
        <v>16</v>
      </c>
      <c r="F90" s="35" t="s">
        <v>395</v>
      </c>
      <c r="G90" s="35"/>
      <c r="H90" s="52"/>
      <c r="I90" s="101" t="s">
        <v>621</v>
      </c>
      <c r="J90" s="35" t="s">
        <v>640</v>
      </c>
      <c r="K90" s="35" t="s">
        <v>148</v>
      </c>
      <c r="L90" s="35"/>
      <c r="M90" s="52"/>
      <c r="N90" s="150" t="s">
        <v>999</v>
      </c>
      <c r="O90" s="181" t="s">
        <v>977</v>
      </c>
      <c r="P90" s="181" t="s">
        <v>978</v>
      </c>
      <c r="Q90" s="22"/>
      <c r="R90" s="52"/>
    </row>
    <row r="91" spans="1:18" ht="17.25" customHeight="1" x14ac:dyDescent="0.2">
      <c r="A91" s="125" t="s">
        <v>12</v>
      </c>
      <c r="B91" s="35" t="s">
        <v>186</v>
      </c>
      <c r="C91" s="35"/>
      <c r="D91" s="35"/>
      <c r="E91" s="35"/>
      <c r="F91" s="35" t="s">
        <v>187</v>
      </c>
      <c r="G91" s="35"/>
      <c r="H91" s="52" t="s">
        <v>73</v>
      </c>
      <c r="I91" s="101"/>
      <c r="J91" s="35"/>
      <c r="K91" s="35"/>
      <c r="L91" s="35"/>
      <c r="M91" s="52"/>
      <c r="N91" s="51"/>
      <c r="O91" s="22"/>
      <c r="P91" s="22"/>
      <c r="Q91" s="22"/>
      <c r="R91" s="52"/>
    </row>
    <row r="92" spans="1:18" ht="17.25" customHeight="1" x14ac:dyDescent="0.2">
      <c r="A92" s="51" t="s">
        <v>13</v>
      </c>
      <c r="B92" s="35" t="s">
        <v>188</v>
      </c>
      <c r="C92" s="35"/>
      <c r="D92" s="35"/>
      <c r="E92" s="35"/>
      <c r="F92" s="35"/>
      <c r="G92" s="35"/>
      <c r="H92" s="52"/>
      <c r="I92" s="101" t="s">
        <v>622</v>
      </c>
      <c r="J92" s="35"/>
      <c r="K92" s="35" t="s">
        <v>425</v>
      </c>
      <c r="L92" s="35"/>
      <c r="M92" s="52"/>
      <c r="N92" s="150" t="s">
        <v>1000</v>
      </c>
      <c r="O92" s="22"/>
      <c r="P92" s="181" t="s">
        <v>1001</v>
      </c>
      <c r="Q92" s="22"/>
      <c r="R92" s="52"/>
    </row>
    <row r="93" spans="1:18" ht="17.25" customHeight="1" x14ac:dyDescent="0.2">
      <c r="A93" s="51" t="s">
        <v>155</v>
      </c>
      <c r="B93" s="35" t="s">
        <v>189</v>
      </c>
      <c r="C93" s="35"/>
      <c r="D93" s="35" t="s">
        <v>448</v>
      </c>
      <c r="E93" s="35" t="s">
        <v>16</v>
      </c>
      <c r="F93" s="35"/>
      <c r="G93" s="35"/>
      <c r="H93" s="52"/>
      <c r="I93" s="101" t="s">
        <v>157</v>
      </c>
      <c r="J93" s="35"/>
      <c r="K93" s="35"/>
      <c r="L93" s="35"/>
      <c r="M93" s="52"/>
      <c r="N93" s="184" t="s">
        <v>981</v>
      </c>
      <c r="O93" s="22"/>
      <c r="P93" s="22"/>
      <c r="Q93" s="22"/>
      <c r="R93" s="52"/>
    </row>
    <row r="94" spans="1:18" ht="17.25" customHeight="1" x14ac:dyDescent="0.2">
      <c r="A94" s="125" t="s">
        <v>21</v>
      </c>
      <c r="B94" s="35"/>
      <c r="C94" s="35"/>
      <c r="D94" s="35"/>
      <c r="E94" s="35"/>
      <c r="F94" s="35"/>
      <c r="G94" s="35"/>
      <c r="H94" s="52"/>
      <c r="I94" s="101"/>
      <c r="J94" s="35"/>
      <c r="K94" s="35"/>
      <c r="L94" s="35"/>
      <c r="M94" s="52"/>
      <c r="N94" s="51"/>
      <c r="O94" s="22"/>
      <c r="P94" s="22"/>
      <c r="Q94" s="22"/>
      <c r="R94" s="52"/>
    </row>
    <row r="95" spans="1:18" ht="17.25" customHeight="1" x14ac:dyDescent="0.2">
      <c r="A95" s="125"/>
      <c r="B95" s="35"/>
      <c r="C95" s="35"/>
      <c r="D95" s="35"/>
      <c r="E95" s="35"/>
      <c r="F95" s="35"/>
      <c r="G95" s="35"/>
      <c r="H95" s="52"/>
      <c r="I95" s="101"/>
      <c r="J95" s="35"/>
      <c r="K95" s="35"/>
      <c r="L95" s="35"/>
      <c r="M95" s="52"/>
      <c r="N95" s="51"/>
      <c r="O95" s="22"/>
      <c r="P95" s="22"/>
      <c r="Q95" s="22"/>
      <c r="R95" s="52"/>
    </row>
    <row r="96" spans="1:18" ht="17.25" customHeight="1" x14ac:dyDescent="0.2">
      <c r="A96" s="125" t="s">
        <v>12</v>
      </c>
      <c r="B96" s="35" t="s">
        <v>519</v>
      </c>
      <c r="C96" s="35"/>
      <c r="D96" s="35"/>
      <c r="E96" s="35"/>
      <c r="F96" s="35"/>
      <c r="G96" s="35"/>
      <c r="H96" s="52" t="s">
        <v>73</v>
      </c>
      <c r="I96" s="101"/>
      <c r="J96" s="35"/>
      <c r="K96" s="35"/>
      <c r="L96" s="35"/>
      <c r="M96" s="52"/>
      <c r="N96" s="51"/>
      <c r="O96" s="22"/>
      <c r="P96" s="22"/>
      <c r="Q96" s="22"/>
      <c r="R96" s="52"/>
    </row>
    <row r="97" spans="1:18" ht="17.25" customHeight="1" x14ac:dyDescent="0.2">
      <c r="A97" s="51" t="s">
        <v>885</v>
      </c>
      <c r="B97" s="35" t="s">
        <v>190</v>
      </c>
      <c r="C97" s="35"/>
      <c r="D97" s="35"/>
      <c r="E97" s="35" t="s">
        <v>16</v>
      </c>
      <c r="F97" s="35"/>
      <c r="G97" s="35"/>
      <c r="H97" s="52"/>
      <c r="I97" s="101" t="s">
        <v>623</v>
      </c>
      <c r="J97" s="35"/>
      <c r="K97" s="35"/>
      <c r="L97" s="35"/>
      <c r="M97" s="52"/>
      <c r="N97" s="150" t="s">
        <v>1002</v>
      </c>
      <c r="O97" s="22"/>
      <c r="P97" s="35"/>
      <c r="Q97" s="22"/>
      <c r="R97" s="52"/>
    </row>
    <row r="98" spans="1:18" ht="17.25" customHeight="1" x14ac:dyDescent="0.2">
      <c r="A98" s="51" t="s">
        <v>82</v>
      </c>
      <c r="B98" s="35" t="s">
        <v>520</v>
      </c>
      <c r="C98" s="35"/>
      <c r="D98" s="35"/>
      <c r="E98" s="35"/>
      <c r="F98" s="35"/>
      <c r="G98" s="35"/>
      <c r="H98" s="52"/>
      <c r="I98" s="101" t="s">
        <v>521</v>
      </c>
      <c r="J98" s="35"/>
      <c r="K98" s="35"/>
      <c r="L98" s="35"/>
      <c r="M98" s="52" t="s">
        <v>769</v>
      </c>
      <c r="N98" s="95" t="s">
        <v>521</v>
      </c>
      <c r="O98" s="22"/>
      <c r="P98" s="22"/>
      <c r="Q98" s="22"/>
      <c r="R98" s="52" t="s">
        <v>769</v>
      </c>
    </row>
    <row r="99" spans="1:18" ht="17.25" customHeight="1" x14ac:dyDescent="0.2">
      <c r="A99" s="125" t="s">
        <v>21</v>
      </c>
      <c r="B99" s="35"/>
      <c r="C99" s="35"/>
      <c r="D99" s="35"/>
      <c r="E99" s="35"/>
      <c r="F99" s="35"/>
      <c r="G99" s="35"/>
      <c r="H99" s="52"/>
      <c r="I99" s="101"/>
      <c r="J99" s="35"/>
      <c r="K99" s="35"/>
      <c r="L99" s="35"/>
      <c r="M99" s="52"/>
      <c r="N99" s="51"/>
      <c r="O99" s="22"/>
      <c r="P99" s="22"/>
      <c r="Q99" s="22"/>
      <c r="R99" s="52"/>
    </row>
    <row r="100" spans="1:18" ht="17.25" customHeight="1" x14ac:dyDescent="0.2">
      <c r="A100" s="125"/>
      <c r="B100" s="35"/>
      <c r="C100" s="35"/>
      <c r="D100" s="35"/>
      <c r="E100" s="35"/>
      <c r="F100" s="35"/>
      <c r="G100" s="35"/>
      <c r="H100" s="52"/>
      <c r="I100" s="101"/>
      <c r="J100" s="35"/>
      <c r="K100" s="35"/>
      <c r="L100" s="35"/>
      <c r="M100" s="52"/>
      <c r="N100" s="51"/>
      <c r="O100" s="22"/>
      <c r="P100" s="22"/>
      <c r="Q100" s="22"/>
      <c r="R100" s="52"/>
    </row>
    <row r="101" spans="1:18" ht="17.25" customHeight="1" x14ac:dyDescent="0.2">
      <c r="A101" s="51" t="s">
        <v>885</v>
      </c>
      <c r="B101" s="35" t="s">
        <v>191</v>
      </c>
      <c r="C101" s="35"/>
      <c r="D101" s="35"/>
      <c r="E101" s="35"/>
      <c r="F101" s="35" t="s">
        <v>192</v>
      </c>
      <c r="G101" s="35"/>
      <c r="H101" s="52"/>
      <c r="I101" s="101" t="s">
        <v>624</v>
      </c>
      <c r="J101" s="35"/>
      <c r="K101" s="35"/>
      <c r="L101" s="35"/>
      <c r="M101" s="52"/>
      <c r="N101" s="150" t="s">
        <v>1003</v>
      </c>
      <c r="O101" s="22"/>
      <c r="P101" s="22"/>
      <c r="Q101" s="22"/>
      <c r="R101" s="52"/>
    </row>
    <row r="102" spans="1:18" ht="17.25" customHeight="1" x14ac:dyDescent="0.2">
      <c r="A102" s="51" t="s">
        <v>13</v>
      </c>
      <c r="B102" s="35" t="s">
        <v>193</v>
      </c>
      <c r="C102" s="35"/>
      <c r="D102" s="35" t="s">
        <v>435</v>
      </c>
      <c r="E102" s="35" t="s">
        <v>16</v>
      </c>
      <c r="F102" s="35" t="s">
        <v>194</v>
      </c>
      <c r="G102" s="35"/>
      <c r="H102" s="52"/>
      <c r="I102" s="101" t="s">
        <v>625</v>
      </c>
      <c r="J102" s="35" t="s">
        <v>503</v>
      </c>
      <c r="K102" s="35" t="s">
        <v>450</v>
      </c>
      <c r="L102" s="35"/>
      <c r="M102" s="52"/>
      <c r="N102" s="150" t="s">
        <v>1004</v>
      </c>
      <c r="O102" s="181" t="s">
        <v>1019</v>
      </c>
      <c r="P102" s="181" t="s">
        <v>1021</v>
      </c>
      <c r="Q102" s="22"/>
      <c r="R102" s="52"/>
    </row>
    <row r="103" spans="1:18" ht="17.25" customHeight="1" x14ac:dyDescent="0.2">
      <c r="A103" s="51" t="s">
        <v>13</v>
      </c>
      <c r="B103" s="35" t="s">
        <v>195</v>
      </c>
      <c r="C103" s="35"/>
      <c r="D103" s="35" t="s">
        <v>436</v>
      </c>
      <c r="E103" s="35" t="s">
        <v>16</v>
      </c>
      <c r="F103" s="35" t="s">
        <v>196</v>
      </c>
      <c r="G103" s="35"/>
      <c r="H103" s="52"/>
      <c r="I103" s="101" t="s">
        <v>626</v>
      </c>
      <c r="J103" s="35" t="s">
        <v>504</v>
      </c>
      <c r="K103" s="35" t="s">
        <v>454</v>
      </c>
      <c r="L103" s="35"/>
      <c r="M103" s="52"/>
      <c r="N103" s="150" t="s">
        <v>1005</v>
      </c>
      <c r="O103" s="181" t="s">
        <v>1020</v>
      </c>
      <c r="P103" s="181" t="s">
        <v>1022</v>
      </c>
      <c r="Q103" s="22"/>
      <c r="R103" s="52"/>
    </row>
    <row r="104" spans="1:18" ht="17.25" customHeight="1" x14ac:dyDescent="0.2">
      <c r="A104" s="51" t="s">
        <v>13</v>
      </c>
      <c r="B104" s="35" t="s">
        <v>197</v>
      </c>
      <c r="C104" s="35"/>
      <c r="D104" s="35" t="s">
        <v>435</v>
      </c>
      <c r="E104" s="35" t="s">
        <v>16</v>
      </c>
      <c r="F104" s="35" t="s">
        <v>194</v>
      </c>
      <c r="G104" s="35"/>
      <c r="H104" s="52"/>
      <c r="I104" s="101" t="s">
        <v>627</v>
      </c>
      <c r="J104" s="35" t="s">
        <v>503</v>
      </c>
      <c r="K104" s="35" t="s">
        <v>451</v>
      </c>
      <c r="L104" s="35"/>
      <c r="M104" s="52"/>
      <c r="N104" s="150" t="s">
        <v>1006</v>
      </c>
      <c r="O104" s="181" t="s">
        <v>1019</v>
      </c>
      <c r="P104" s="190" t="s">
        <v>1023</v>
      </c>
      <c r="Q104" s="22"/>
      <c r="R104" s="52"/>
    </row>
    <row r="105" spans="1:18" ht="17.25" customHeight="1" x14ac:dyDescent="0.2">
      <c r="A105" s="51" t="s">
        <v>13</v>
      </c>
      <c r="B105" s="35" t="s">
        <v>198</v>
      </c>
      <c r="C105" s="35"/>
      <c r="D105" s="35" t="s">
        <v>436</v>
      </c>
      <c r="E105" s="35" t="s">
        <v>16</v>
      </c>
      <c r="F105" s="35" t="s">
        <v>199</v>
      </c>
      <c r="G105" s="35"/>
      <c r="H105" s="52"/>
      <c r="I105" s="101" t="s">
        <v>628</v>
      </c>
      <c r="J105" s="35" t="s">
        <v>504</v>
      </c>
      <c r="K105" s="35" t="s">
        <v>455</v>
      </c>
      <c r="L105" s="35"/>
      <c r="M105" s="52"/>
      <c r="N105" s="150" t="s">
        <v>1007</v>
      </c>
      <c r="O105" s="181" t="s">
        <v>1020</v>
      </c>
      <c r="P105" s="190" t="s">
        <v>1024</v>
      </c>
      <c r="Q105" s="22"/>
      <c r="R105" s="52"/>
    </row>
    <row r="106" spans="1:18" ht="17.25" customHeight="1" x14ac:dyDescent="0.2">
      <c r="A106" s="51" t="s">
        <v>13</v>
      </c>
      <c r="B106" s="35" t="s">
        <v>200</v>
      </c>
      <c r="C106" s="35"/>
      <c r="D106" s="35" t="s">
        <v>435</v>
      </c>
      <c r="E106" s="35" t="s">
        <v>16</v>
      </c>
      <c r="F106" s="35" t="s">
        <v>194</v>
      </c>
      <c r="G106" s="35"/>
      <c r="H106" s="52"/>
      <c r="I106" s="101" t="s">
        <v>629</v>
      </c>
      <c r="J106" s="35" t="s">
        <v>503</v>
      </c>
      <c r="K106" s="35" t="s">
        <v>452</v>
      </c>
      <c r="L106" s="35"/>
      <c r="M106" s="52"/>
      <c r="N106" s="150" t="s">
        <v>1008</v>
      </c>
      <c r="O106" s="181" t="s">
        <v>1019</v>
      </c>
      <c r="P106" s="190" t="s">
        <v>1025</v>
      </c>
      <c r="Q106" s="22"/>
      <c r="R106" s="52"/>
    </row>
    <row r="107" spans="1:18" ht="17.25" customHeight="1" x14ac:dyDescent="0.2">
      <c r="A107" s="51" t="s">
        <v>13</v>
      </c>
      <c r="B107" s="35" t="s">
        <v>201</v>
      </c>
      <c r="C107" s="35"/>
      <c r="D107" s="35" t="s">
        <v>436</v>
      </c>
      <c r="E107" s="35" t="s">
        <v>16</v>
      </c>
      <c r="F107" s="35" t="s">
        <v>202</v>
      </c>
      <c r="G107" s="35"/>
      <c r="H107" s="52"/>
      <c r="I107" s="101" t="s">
        <v>630</v>
      </c>
      <c r="J107" s="35" t="s">
        <v>504</v>
      </c>
      <c r="K107" s="35" t="s">
        <v>456</v>
      </c>
      <c r="L107" s="35"/>
      <c r="M107" s="52"/>
      <c r="N107" s="150" t="s">
        <v>1009</v>
      </c>
      <c r="O107" s="181" t="s">
        <v>1020</v>
      </c>
      <c r="P107" s="190" t="s">
        <v>1026</v>
      </c>
      <c r="Q107" s="22"/>
      <c r="R107" s="52"/>
    </row>
    <row r="108" spans="1:18" ht="17.25" customHeight="1" x14ac:dyDescent="0.2">
      <c r="A108" s="51" t="s">
        <v>13</v>
      </c>
      <c r="B108" s="35" t="s">
        <v>203</v>
      </c>
      <c r="C108" s="35"/>
      <c r="D108" s="35" t="s">
        <v>435</v>
      </c>
      <c r="E108" s="35" t="s">
        <v>16</v>
      </c>
      <c r="F108" s="35" t="s">
        <v>194</v>
      </c>
      <c r="G108" s="35"/>
      <c r="H108" s="52"/>
      <c r="I108" s="101" t="s">
        <v>631</v>
      </c>
      <c r="J108" s="35" t="s">
        <v>503</v>
      </c>
      <c r="K108" s="35" t="s">
        <v>453</v>
      </c>
      <c r="L108" s="35"/>
      <c r="M108" s="52"/>
      <c r="N108" s="150" t="s">
        <v>1010</v>
      </c>
      <c r="O108" s="181" t="s">
        <v>1019</v>
      </c>
      <c r="P108" s="190" t="s">
        <v>1027</v>
      </c>
      <c r="Q108" s="22"/>
      <c r="R108" s="52"/>
    </row>
    <row r="109" spans="1:18" ht="17.25" customHeight="1" x14ac:dyDescent="0.2">
      <c r="A109" s="51" t="s">
        <v>13</v>
      </c>
      <c r="B109" s="35" t="s">
        <v>204</v>
      </c>
      <c r="C109" s="35"/>
      <c r="D109" s="35" t="s">
        <v>436</v>
      </c>
      <c r="E109" s="35" t="s">
        <v>16</v>
      </c>
      <c r="F109" s="35" t="s">
        <v>205</v>
      </c>
      <c r="G109" s="35"/>
      <c r="H109" s="52"/>
      <c r="I109" s="101" t="s">
        <v>632</v>
      </c>
      <c r="J109" s="35" t="s">
        <v>504</v>
      </c>
      <c r="K109" s="35" t="s">
        <v>457</v>
      </c>
      <c r="L109" s="35"/>
      <c r="M109" s="52"/>
      <c r="N109" s="150" t="s">
        <v>1011</v>
      </c>
      <c r="O109" s="181" t="s">
        <v>1020</v>
      </c>
      <c r="P109" s="190" t="s">
        <v>1028</v>
      </c>
      <c r="Q109" s="22"/>
      <c r="R109" s="52"/>
    </row>
    <row r="110" spans="1:18" ht="17.25" customHeight="1" x14ac:dyDescent="0.2">
      <c r="A110" s="51" t="s">
        <v>13</v>
      </c>
      <c r="B110" s="35" t="s">
        <v>207</v>
      </c>
      <c r="C110" s="35"/>
      <c r="D110" s="35" t="s">
        <v>435</v>
      </c>
      <c r="E110" s="35" t="s">
        <v>16</v>
      </c>
      <c r="F110" s="35" t="s">
        <v>194</v>
      </c>
      <c r="G110" s="35"/>
      <c r="H110" s="52"/>
      <c r="I110" s="101" t="s">
        <v>633</v>
      </c>
      <c r="J110" s="35" t="s">
        <v>503</v>
      </c>
      <c r="K110" s="35" t="s">
        <v>459</v>
      </c>
      <c r="L110" s="35"/>
      <c r="M110" s="52"/>
      <c r="N110" s="150" t="s">
        <v>1012</v>
      </c>
      <c r="O110" s="181" t="s">
        <v>1019</v>
      </c>
      <c r="P110" s="190" t="s">
        <v>1029</v>
      </c>
      <c r="Q110" s="22"/>
      <c r="R110" s="52"/>
    </row>
    <row r="111" spans="1:18" ht="17.25" customHeight="1" x14ac:dyDescent="0.2">
      <c r="A111" s="51" t="s">
        <v>13</v>
      </c>
      <c r="B111" s="35" t="s">
        <v>208</v>
      </c>
      <c r="C111" s="35"/>
      <c r="D111" s="35" t="s">
        <v>436</v>
      </c>
      <c r="E111" s="35" t="s">
        <v>16</v>
      </c>
      <c r="F111" s="35" t="s">
        <v>416</v>
      </c>
      <c r="G111" s="35"/>
      <c r="H111" s="52"/>
      <c r="I111" s="101" t="s">
        <v>634</v>
      </c>
      <c r="J111" s="35" t="s">
        <v>504</v>
      </c>
      <c r="K111" s="35" t="s">
        <v>460</v>
      </c>
      <c r="L111" s="35"/>
      <c r="M111" s="52"/>
      <c r="N111" s="150" t="s">
        <v>1013</v>
      </c>
      <c r="O111" s="181" t="s">
        <v>1020</v>
      </c>
      <c r="P111" s="181" t="s">
        <v>1030</v>
      </c>
      <c r="Q111" s="22"/>
      <c r="R111" s="52"/>
    </row>
    <row r="112" spans="1:18" ht="17.25" customHeight="1" x14ac:dyDescent="0.2">
      <c r="A112" s="51" t="s">
        <v>17</v>
      </c>
      <c r="B112" s="35" t="s">
        <v>206</v>
      </c>
      <c r="C112" s="35"/>
      <c r="D112" s="35"/>
      <c r="E112" s="35"/>
      <c r="F112" s="35" t="s">
        <v>415</v>
      </c>
      <c r="G112" s="35"/>
      <c r="H112" s="52"/>
      <c r="I112" s="101" t="s">
        <v>635</v>
      </c>
      <c r="J112" s="35"/>
      <c r="K112" s="35"/>
      <c r="L112" s="35"/>
      <c r="M112" s="52"/>
      <c r="N112" s="150" t="s">
        <v>1014</v>
      </c>
      <c r="O112" s="22"/>
      <c r="P112" s="22"/>
      <c r="Q112" s="22"/>
      <c r="R112" s="52"/>
    </row>
    <row r="113" spans="1:18" ht="17.25" customHeight="1" x14ac:dyDescent="0.2">
      <c r="A113" s="51" t="s">
        <v>885</v>
      </c>
      <c r="B113" s="35" t="s">
        <v>209</v>
      </c>
      <c r="C113" s="35"/>
      <c r="D113" s="35"/>
      <c r="E113" s="35" t="s">
        <v>16</v>
      </c>
      <c r="F113" s="35" t="s">
        <v>210</v>
      </c>
      <c r="G113" s="35"/>
      <c r="H113" s="52"/>
      <c r="I113" s="101" t="s">
        <v>636</v>
      </c>
      <c r="J113" s="35"/>
      <c r="K113" s="35"/>
      <c r="L113" s="35"/>
      <c r="M113" s="52"/>
      <c r="N113" s="150" t="s">
        <v>1015</v>
      </c>
      <c r="O113" s="22"/>
      <c r="P113" s="22"/>
      <c r="Q113" s="22"/>
      <c r="R113" s="52"/>
    </row>
    <row r="114" spans="1:18" ht="17.25" customHeight="1" x14ac:dyDescent="0.2">
      <c r="A114" s="51" t="s">
        <v>885</v>
      </c>
      <c r="B114" s="35" t="s">
        <v>211</v>
      </c>
      <c r="C114" s="35"/>
      <c r="D114" s="35"/>
      <c r="E114" s="35" t="s">
        <v>16</v>
      </c>
      <c r="F114" s="35" t="s">
        <v>212</v>
      </c>
      <c r="G114" s="35"/>
      <c r="H114" s="52"/>
      <c r="I114" s="101" t="s">
        <v>637</v>
      </c>
      <c r="J114" s="35"/>
      <c r="K114" s="35"/>
      <c r="L114" s="35"/>
      <c r="M114" s="52"/>
      <c r="N114" s="150" t="s">
        <v>1016</v>
      </c>
      <c r="O114" s="22"/>
      <c r="P114" s="22"/>
      <c r="Q114" s="22"/>
      <c r="R114" s="52"/>
    </row>
    <row r="115" spans="1:18" ht="17.25" customHeight="1" x14ac:dyDescent="0.2">
      <c r="A115" s="51" t="s">
        <v>885</v>
      </c>
      <c r="B115" s="35" t="s">
        <v>213</v>
      </c>
      <c r="C115" s="35"/>
      <c r="D115" s="35"/>
      <c r="E115" s="35" t="s">
        <v>16</v>
      </c>
      <c r="F115" s="35"/>
      <c r="G115" s="35"/>
      <c r="H115" s="52"/>
      <c r="I115" s="101" t="s">
        <v>638</v>
      </c>
      <c r="J115" s="35"/>
      <c r="K115" s="35"/>
      <c r="L115" s="35"/>
      <c r="M115" s="52"/>
      <c r="N115" s="150" t="s">
        <v>1017</v>
      </c>
      <c r="O115" s="22"/>
      <c r="P115" s="22"/>
      <c r="Q115" s="22"/>
      <c r="R115" s="52"/>
    </row>
    <row r="116" spans="1:18" ht="17.25" customHeight="1" x14ac:dyDescent="0.2">
      <c r="A116" s="51" t="s">
        <v>883</v>
      </c>
      <c r="B116" s="35" t="s">
        <v>214</v>
      </c>
      <c r="C116" s="35"/>
      <c r="D116" s="35"/>
      <c r="E116" s="35" t="s">
        <v>16</v>
      </c>
      <c r="F116" s="35"/>
      <c r="G116" s="35"/>
      <c r="H116" s="52"/>
      <c r="I116" s="101" t="s">
        <v>639</v>
      </c>
      <c r="J116" s="35"/>
      <c r="K116" s="35"/>
      <c r="L116" s="35"/>
      <c r="M116" s="52"/>
      <c r="N116" s="150" t="s">
        <v>1018</v>
      </c>
      <c r="O116" s="22"/>
      <c r="P116" s="22"/>
      <c r="Q116" s="22"/>
      <c r="R116" s="52"/>
    </row>
    <row r="117" spans="1:18" ht="17.25" customHeight="1" x14ac:dyDescent="0.2">
      <c r="A117" s="117" t="s">
        <v>21</v>
      </c>
      <c r="B117" s="35"/>
      <c r="C117" s="35"/>
      <c r="D117" s="35"/>
      <c r="E117" s="35"/>
      <c r="F117" s="35"/>
      <c r="G117" s="35"/>
      <c r="H117" s="52"/>
      <c r="I117" s="101"/>
      <c r="J117" s="35"/>
      <c r="K117" s="35"/>
      <c r="L117" s="35"/>
      <c r="M117" s="52"/>
      <c r="N117" s="51"/>
      <c r="O117" s="22"/>
      <c r="P117" s="22"/>
      <c r="Q117" s="22"/>
      <c r="R117" s="52"/>
    </row>
    <row r="118" spans="1:18" ht="17.25" customHeight="1" x14ac:dyDescent="0.2">
      <c r="A118" s="68"/>
      <c r="H118" s="49"/>
      <c r="I118" s="80"/>
      <c r="M118" s="49"/>
      <c r="N118" s="48"/>
      <c r="R118" s="49"/>
    </row>
    <row r="119" spans="1:18" ht="17.25" customHeight="1" x14ac:dyDescent="0.2">
      <c r="A119" s="68"/>
      <c r="H119" s="49"/>
      <c r="I119" s="80"/>
      <c r="M119" s="49"/>
      <c r="N119" s="48"/>
      <c r="R119" s="49"/>
    </row>
    <row r="120" spans="1:18" ht="17.25" customHeight="1" x14ac:dyDescent="0.2">
      <c r="A120" s="126" t="s">
        <v>12</v>
      </c>
      <c r="B120" s="36" t="s">
        <v>377</v>
      </c>
      <c r="C120" s="36"/>
      <c r="D120" s="36"/>
      <c r="E120" s="36"/>
      <c r="F120" s="36"/>
      <c r="G120" s="36"/>
      <c r="H120" s="62"/>
      <c r="I120" s="107" t="s">
        <v>378</v>
      </c>
      <c r="J120" s="36"/>
      <c r="K120" s="36"/>
      <c r="L120" s="36"/>
      <c r="M120" s="62"/>
      <c r="N120" s="61" t="s">
        <v>1031</v>
      </c>
      <c r="O120" s="23"/>
      <c r="P120" s="23"/>
      <c r="Q120" s="23"/>
      <c r="R120" s="62"/>
    </row>
    <row r="121" spans="1:18" ht="17.25" customHeight="1" x14ac:dyDescent="0.2">
      <c r="A121" s="63" t="s">
        <v>82</v>
      </c>
      <c r="B121" s="36" t="s">
        <v>215</v>
      </c>
      <c r="C121" s="36"/>
      <c r="D121" s="36"/>
      <c r="E121" s="36"/>
      <c r="F121" s="36"/>
      <c r="G121" s="36"/>
      <c r="H121" s="62"/>
      <c r="I121" s="64" t="s">
        <v>216</v>
      </c>
      <c r="J121" s="36"/>
      <c r="K121" s="36"/>
      <c r="L121" s="36"/>
      <c r="M121" s="62"/>
      <c r="N121" s="150" t="s">
        <v>1032</v>
      </c>
      <c r="O121" s="23"/>
      <c r="P121" s="23"/>
      <c r="Q121" s="23"/>
      <c r="R121" s="62"/>
    </row>
    <row r="122" spans="1:18" ht="17.25" customHeight="1" x14ac:dyDescent="0.2">
      <c r="A122" s="63" t="s">
        <v>885</v>
      </c>
      <c r="B122" s="36" t="s">
        <v>217</v>
      </c>
      <c r="C122" s="36"/>
      <c r="D122" s="36"/>
      <c r="E122" s="36" t="s">
        <v>16</v>
      </c>
      <c r="F122" s="36"/>
      <c r="G122" s="36"/>
      <c r="H122" s="62"/>
      <c r="I122" s="64" t="s">
        <v>934</v>
      </c>
      <c r="J122" s="36"/>
      <c r="K122" s="36"/>
      <c r="L122" s="36"/>
      <c r="M122" s="62"/>
      <c r="N122" s="150" t="s">
        <v>1033</v>
      </c>
      <c r="O122" s="23"/>
      <c r="P122" s="23"/>
      <c r="Q122" s="23"/>
      <c r="R122" s="62"/>
    </row>
    <row r="123" spans="1:18" ht="17.25" customHeight="1" x14ac:dyDescent="0.2">
      <c r="A123" s="63" t="s">
        <v>885</v>
      </c>
      <c r="B123" s="36" t="s">
        <v>218</v>
      </c>
      <c r="C123" s="36"/>
      <c r="D123" s="36"/>
      <c r="E123" s="36" t="s">
        <v>16</v>
      </c>
      <c r="F123" s="36" t="s">
        <v>219</v>
      </c>
      <c r="G123" s="36"/>
      <c r="H123" s="62"/>
      <c r="I123" s="64" t="s">
        <v>653</v>
      </c>
      <c r="J123" s="36"/>
      <c r="K123" s="36"/>
      <c r="L123" s="36"/>
      <c r="M123" s="62"/>
      <c r="N123" s="150" t="s">
        <v>1034</v>
      </c>
      <c r="O123" s="23"/>
      <c r="P123" s="23"/>
      <c r="Q123" s="23"/>
      <c r="R123" s="62"/>
    </row>
    <row r="124" spans="1:18" ht="17.25" customHeight="1" x14ac:dyDescent="0.2">
      <c r="A124" s="63" t="s">
        <v>885</v>
      </c>
      <c r="B124" s="36" t="s">
        <v>220</v>
      </c>
      <c r="C124" s="36"/>
      <c r="D124" s="36"/>
      <c r="E124" s="36" t="s">
        <v>16</v>
      </c>
      <c r="F124" s="36" t="s">
        <v>221</v>
      </c>
      <c r="G124" s="36"/>
      <c r="H124" s="62"/>
      <c r="I124" s="64" t="s">
        <v>654</v>
      </c>
      <c r="J124" s="36"/>
      <c r="K124" s="36"/>
      <c r="L124" s="36"/>
      <c r="M124" s="62"/>
      <c r="N124" s="150" t="s">
        <v>1035</v>
      </c>
      <c r="O124" s="23"/>
      <c r="P124" s="23"/>
      <c r="Q124" s="23"/>
      <c r="R124" s="62"/>
    </row>
    <row r="125" spans="1:18" ht="17.25" customHeight="1" x14ac:dyDescent="0.2">
      <c r="A125" s="148" t="s">
        <v>12</v>
      </c>
      <c r="B125" s="36" t="s">
        <v>795</v>
      </c>
      <c r="C125" s="36"/>
      <c r="D125" s="36"/>
      <c r="E125" s="36"/>
      <c r="F125" s="36" t="s">
        <v>224</v>
      </c>
      <c r="G125" s="36"/>
      <c r="H125" s="62" t="s">
        <v>73</v>
      </c>
      <c r="I125" s="64"/>
      <c r="J125" s="36"/>
      <c r="K125" s="36"/>
      <c r="L125" s="36"/>
      <c r="M125" s="62"/>
      <c r="N125" s="63"/>
      <c r="O125" s="23"/>
      <c r="P125" s="23"/>
      <c r="Q125" s="23"/>
      <c r="R125" s="62"/>
    </row>
    <row r="126" spans="1:18" ht="17.25" customHeight="1" x14ac:dyDescent="0.2">
      <c r="A126" s="63" t="s">
        <v>222</v>
      </c>
      <c r="B126" s="36" t="s">
        <v>223</v>
      </c>
      <c r="C126" s="36"/>
      <c r="D126" s="36"/>
      <c r="E126" s="36" t="s">
        <v>16</v>
      </c>
      <c r="F126" s="36"/>
      <c r="G126" s="36"/>
      <c r="H126" s="62"/>
      <c r="I126" s="64" t="s">
        <v>655</v>
      </c>
      <c r="J126" s="36"/>
      <c r="K126" s="36"/>
      <c r="L126" s="36"/>
      <c r="M126" s="62"/>
      <c r="N126" s="150" t="s">
        <v>1036</v>
      </c>
      <c r="O126" s="23"/>
      <c r="P126" s="25"/>
      <c r="Q126" s="23"/>
      <c r="R126" s="62"/>
    </row>
    <row r="127" spans="1:18" ht="17.25" customHeight="1" x14ac:dyDescent="0.2">
      <c r="A127" s="63" t="s">
        <v>82</v>
      </c>
      <c r="B127" s="36" t="s">
        <v>796</v>
      </c>
      <c r="C127" s="36"/>
      <c r="D127" s="36"/>
      <c r="E127" s="36"/>
      <c r="F127" s="36"/>
      <c r="G127" s="36"/>
      <c r="H127" s="62"/>
      <c r="I127" s="64"/>
      <c r="J127" s="36"/>
      <c r="K127" s="36"/>
      <c r="L127" s="36"/>
      <c r="M127" s="62" t="s">
        <v>797</v>
      </c>
      <c r="N127" s="63"/>
      <c r="O127" s="23"/>
      <c r="P127" s="25"/>
      <c r="Q127" s="23"/>
      <c r="R127" s="62" t="s">
        <v>797</v>
      </c>
    </row>
    <row r="128" spans="1:18" ht="17.25" customHeight="1" x14ac:dyDescent="0.2">
      <c r="A128" s="148" t="s">
        <v>21</v>
      </c>
      <c r="B128" s="36"/>
      <c r="C128" s="36"/>
      <c r="D128" s="36"/>
      <c r="E128" s="36"/>
      <c r="F128" s="36"/>
      <c r="G128" s="36"/>
      <c r="H128" s="62"/>
      <c r="I128" s="64"/>
      <c r="J128" s="36"/>
      <c r="K128" s="36"/>
      <c r="L128" s="36"/>
      <c r="M128" s="62"/>
      <c r="N128" s="63"/>
      <c r="O128" s="23"/>
      <c r="P128" s="25"/>
      <c r="Q128" s="23"/>
      <c r="R128" s="62"/>
    </row>
    <row r="129" spans="1:18" ht="17.25" customHeight="1" x14ac:dyDescent="0.2">
      <c r="A129" s="63" t="s">
        <v>885</v>
      </c>
      <c r="B129" s="36" t="s">
        <v>225</v>
      </c>
      <c r="C129" s="36"/>
      <c r="D129" s="36"/>
      <c r="E129" s="36" t="s">
        <v>16</v>
      </c>
      <c r="F129" s="36" t="s">
        <v>224</v>
      </c>
      <c r="G129" s="36"/>
      <c r="H129" s="62"/>
      <c r="I129" s="64" t="s">
        <v>656</v>
      </c>
      <c r="J129" s="36"/>
      <c r="K129" s="36"/>
      <c r="L129" s="36"/>
      <c r="M129" s="62"/>
      <c r="N129" s="150" t="s">
        <v>1037</v>
      </c>
      <c r="O129" s="23"/>
      <c r="P129" s="23"/>
      <c r="Q129" s="23"/>
      <c r="R129" s="62"/>
    </row>
    <row r="130" spans="1:18" ht="17.25" customHeight="1" x14ac:dyDescent="0.2">
      <c r="A130" s="63" t="s">
        <v>13</v>
      </c>
      <c r="B130" s="36" t="s">
        <v>226</v>
      </c>
      <c r="C130" s="36"/>
      <c r="D130" s="36" t="s">
        <v>435</v>
      </c>
      <c r="E130" s="36" t="s">
        <v>16</v>
      </c>
      <c r="F130" s="36" t="s">
        <v>227</v>
      </c>
      <c r="G130" s="36"/>
      <c r="H130" s="62"/>
      <c r="I130" s="64" t="s">
        <v>657</v>
      </c>
      <c r="J130" s="36" t="s">
        <v>471</v>
      </c>
      <c r="K130" s="36" t="s">
        <v>148</v>
      </c>
      <c r="L130" s="36"/>
      <c r="M130" s="62"/>
      <c r="N130" s="150" t="s">
        <v>1038</v>
      </c>
      <c r="O130" s="181" t="s">
        <v>1052</v>
      </c>
      <c r="P130" s="181" t="s">
        <v>1053</v>
      </c>
      <c r="Q130" s="23"/>
      <c r="R130" s="62"/>
    </row>
    <row r="131" spans="1:18" ht="17.25" customHeight="1" x14ac:dyDescent="0.2">
      <c r="A131" s="63" t="s">
        <v>13</v>
      </c>
      <c r="B131" s="36" t="s">
        <v>228</v>
      </c>
      <c r="C131" s="36"/>
      <c r="D131" s="36" t="s">
        <v>449</v>
      </c>
      <c r="E131" s="36" t="s">
        <v>16</v>
      </c>
      <c r="F131" s="36" t="s">
        <v>834</v>
      </c>
      <c r="G131" s="36"/>
      <c r="H131" s="62"/>
      <c r="I131" s="64" t="s">
        <v>658</v>
      </c>
      <c r="J131" s="36" t="s">
        <v>471</v>
      </c>
      <c r="K131" s="36" t="s">
        <v>148</v>
      </c>
      <c r="L131" s="36"/>
      <c r="M131" s="62"/>
      <c r="N131" s="150" t="s">
        <v>1039</v>
      </c>
      <c r="O131" s="181" t="s">
        <v>1052</v>
      </c>
      <c r="P131" s="181" t="s">
        <v>1053</v>
      </c>
      <c r="Q131" s="23"/>
      <c r="R131" s="62"/>
    </row>
    <row r="132" spans="1:18" ht="17.25" customHeight="1" x14ac:dyDescent="0.2">
      <c r="A132" s="63" t="s">
        <v>13</v>
      </c>
      <c r="B132" s="36" t="s">
        <v>229</v>
      </c>
      <c r="C132" s="36"/>
      <c r="D132" s="36" t="s">
        <v>449</v>
      </c>
      <c r="E132" s="36" t="s">
        <v>16</v>
      </c>
      <c r="F132" s="36" t="s">
        <v>834</v>
      </c>
      <c r="G132" s="36"/>
      <c r="H132" s="62"/>
      <c r="I132" s="64" t="s">
        <v>659</v>
      </c>
      <c r="J132" s="36" t="s">
        <v>471</v>
      </c>
      <c r="K132" s="36" t="s">
        <v>148</v>
      </c>
      <c r="L132" s="36"/>
      <c r="M132" s="62"/>
      <c r="N132" s="150" t="s">
        <v>1040</v>
      </c>
      <c r="O132" s="181" t="s">
        <v>1052</v>
      </c>
      <c r="P132" s="181" t="s">
        <v>1053</v>
      </c>
      <c r="Q132" s="23"/>
      <c r="R132" s="62"/>
    </row>
    <row r="133" spans="1:18" ht="17.25" customHeight="1" x14ac:dyDescent="0.2">
      <c r="A133" s="63" t="s">
        <v>13</v>
      </c>
      <c r="B133" s="36" t="s">
        <v>230</v>
      </c>
      <c r="C133" s="36"/>
      <c r="D133" s="36" t="s">
        <v>435</v>
      </c>
      <c r="E133" s="36" t="s">
        <v>16</v>
      </c>
      <c r="F133" s="36" t="s">
        <v>926</v>
      </c>
      <c r="G133" s="36"/>
      <c r="H133" s="62"/>
      <c r="I133" s="64" t="s">
        <v>660</v>
      </c>
      <c r="J133" s="36" t="s">
        <v>472</v>
      </c>
      <c r="K133" s="36" t="s">
        <v>148</v>
      </c>
      <c r="L133" s="36"/>
      <c r="M133" s="62"/>
      <c r="N133" s="150" t="s">
        <v>1041</v>
      </c>
      <c r="O133" s="181" t="s">
        <v>1051</v>
      </c>
      <c r="P133" s="181" t="s">
        <v>1053</v>
      </c>
      <c r="Q133" s="23"/>
      <c r="R133" s="62"/>
    </row>
    <row r="134" spans="1:18" ht="17.25" customHeight="1" x14ac:dyDescent="0.2">
      <c r="A134" s="148" t="s">
        <v>12</v>
      </c>
      <c r="B134" s="36" t="s">
        <v>641</v>
      </c>
      <c r="C134" s="36"/>
      <c r="D134" s="36"/>
      <c r="E134" s="36" t="s">
        <v>16</v>
      </c>
      <c r="F134" s="36" t="s">
        <v>834</v>
      </c>
      <c r="G134" s="36"/>
      <c r="H134" s="62" t="s">
        <v>73</v>
      </c>
      <c r="I134" s="64" t="s">
        <v>642</v>
      </c>
      <c r="J134" s="36"/>
      <c r="K134" s="36"/>
      <c r="L134" s="36"/>
      <c r="M134" s="62"/>
      <c r="N134" s="150" t="s">
        <v>1042</v>
      </c>
      <c r="O134" s="23"/>
      <c r="P134" s="23"/>
      <c r="Q134" s="23"/>
      <c r="R134" s="62"/>
    </row>
    <row r="135" spans="1:18" ht="17.25" customHeight="1" x14ac:dyDescent="0.2">
      <c r="A135" s="127" t="s">
        <v>82</v>
      </c>
      <c r="B135" s="36" t="s">
        <v>650</v>
      </c>
      <c r="C135" s="36"/>
      <c r="D135" s="36"/>
      <c r="E135" s="36"/>
      <c r="F135" s="36"/>
      <c r="G135" s="36"/>
      <c r="H135" s="62"/>
      <c r="I135" s="64" t="s">
        <v>652</v>
      </c>
      <c r="J135" s="36"/>
      <c r="K135" s="36" t="s">
        <v>651</v>
      </c>
      <c r="L135" s="36"/>
      <c r="M135" s="62"/>
      <c r="N135" s="150" t="s">
        <v>1043</v>
      </c>
      <c r="O135" s="23"/>
      <c r="P135" s="185" t="s">
        <v>1054</v>
      </c>
      <c r="Q135" s="23"/>
      <c r="R135" s="62"/>
    </row>
    <row r="136" spans="1:18" ht="17.25" customHeight="1" x14ac:dyDescent="0.2">
      <c r="A136" s="63" t="s">
        <v>13</v>
      </c>
      <c r="B136" s="36" t="s">
        <v>231</v>
      </c>
      <c r="C136" s="36"/>
      <c r="D136" s="36" t="s">
        <v>435</v>
      </c>
      <c r="E136" s="36" t="s">
        <v>16</v>
      </c>
      <c r="F136" s="36" t="s">
        <v>227</v>
      </c>
      <c r="G136" s="36"/>
      <c r="H136" s="62"/>
      <c r="I136" s="64" t="s">
        <v>643</v>
      </c>
      <c r="J136" s="36" t="s">
        <v>472</v>
      </c>
      <c r="K136" s="36"/>
      <c r="L136" s="36" t="s">
        <v>666</v>
      </c>
      <c r="M136" s="62"/>
      <c r="N136" s="150" t="s">
        <v>1044</v>
      </c>
      <c r="O136" s="181" t="s">
        <v>1051</v>
      </c>
      <c r="P136" s="23"/>
      <c r="Q136" s="181" t="s">
        <v>1057</v>
      </c>
      <c r="R136" s="62"/>
    </row>
    <row r="137" spans="1:18" ht="17.25" customHeight="1" x14ac:dyDescent="0.2">
      <c r="A137" s="63" t="s">
        <v>13</v>
      </c>
      <c r="B137" s="36" t="s">
        <v>232</v>
      </c>
      <c r="C137" s="36"/>
      <c r="D137" s="36" t="s">
        <v>435</v>
      </c>
      <c r="E137" s="36" t="s">
        <v>16</v>
      </c>
      <c r="F137" s="36" t="s">
        <v>227</v>
      </c>
      <c r="G137" s="36"/>
      <c r="H137" s="62"/>
      <c r="I137" s="64" t="s">
        <v>644</v>
      </c>
      <c r="J137" s="36" t="s">
        <v>472</v>
      </c>
      <c r="K137" s="36"/>
      <c r="L137" s="36" t="s">
        <v>666</v>
      </c>
      <c r="M137" s="62"/>
      <c r="N137" s="150" t="s">
        <v>1045</v>
      </c>
      <c r="O137" s="181" t="s">
        <v>1051</v>
      </c>
      <c r="P137" s="23"/>
      <c r="Q137" s="181" t="s">
        <v>1057</v>
      </c>
      <c r="R137" s="62"/>
    </row>
    <row r="138" spans="1:18" ht="17.25" customHeight="1" x14ac:dyDescent="0.2">
      <c r="A138" s="63" t="s">
        <v>13</v>
      </c>
      <c r="B138" s="36" t="s">
        <v>233</v>
      </c>
      <c r="C138" s="36"/>
      <c r="D138" s="36" t="s">
        <v>435</v>
      </c>
      <c r="E138" s="36" t="s">
        <v>16</v>
      </c>
      <c r="F138" s="36" t="s">
        <v>227</v>
      </c>
      <c r="G138" s="36"/>
      <c r="H138" s="62"/>
      <c r="I138" s="64" t="s">
        <v>645</v>
      </c>
      <c r="J138" s="36" t="s">
        <v>472</v>
      </c>
      <c r="K138" s="36"/>
      <c r="L138" s="36" t="s">
        <v>666</v>
      </c>
      <c r="M138" s="62"/>
      <c r="N138" s="150" t="s">
        <v>1046</v>
      </c>
      <c r="O138" s="181" t="s">
        <v>1051</v>
      </c>
      <c r="P138" s="23"/>
      <c r="Q138" s="181" t="s">
        <v>1057</v>
      </c>
      <c r="R138" s="62"/>
    </row>
    <row r="139" spans="1:18" ht="17.25" customHeight="1" x14ac:dyDescent="0.2">
      <c r="A139" s="63" t="s">
        <v>13</v>
      </c>
      <c r="B139" s="36" t="s">
        <v>234</v>
      </c>
      <c r="C139" s="36"/>
      <c r="D139" s="36" t="s">
        <v>435</v>
      </c>
      <c r="E139" s="36" t="s">
        <v>16</v>
      </c>
      <c r="F139" s="36" t="s">
        <v>227</v>
      </c>
      <c r="G139" s="36"/>
      <c r="H139" s="62"/>
      <c r="I139" s="64" t="s">
        <v>646</v>
      </c>
      <c r="J139" s="36" t="s">
        <v>472</v>
      </c>
      <c r="K139" s="36"/>
      <c r="L139" s="36" t="s">
        <v>666</v>
      </c>
      <c r="M139" s="62"/>
      <c r="N139" s="150" t="s">
        <v>1047</v>
      </c>
      <c r="O139" s="181" t="s">
        <v>1051</v>
      </c>
      <c r="P139" s="23"/>
      <c r="Q139" s="181" t="s">
        <v>1057</v>
      </c>
      <c r="R139" s="62"/>
    </row>
    <row r="140" spans="1:18" ht="17.25" customHeight="1" x14ac:dyDescent="0.2">
      <c r="A140" s="63" t="s">
        <v>13</v>
      </c>
      <c r="B140" s="36" t="s">
        <v>235</v>
      </c>
      <c r="C140" s="36"/>
      <c r="D140" s="36" t="s">
        <v>435</v>
      </c>
      <c r="E140" s="36" t="s">
        <v>16</v>
      </c>
      <c r="F140" s="36" t="s">
        <v>227</v>
      </c>
      <c r="G140" s="36"/>
      <c r="H140" s="62"/>
      <c r="I140" s="64" t="s">
        <v>647</v>
      </c>
      <c r="J140" s="36" t="s">
        <v>472</v>
      </c>
      <c r="K140" s="36"/>
      <c r="L140" s="36" t="s">
        <v>666</v>
      </c>
      <c r="M140" s="62"/>
      <c r="N140" s="150" t="s">
        <v>1048</v>
      </c>
      <c r="O140" s="181" t="s">
        <v>1051</v>
      </c>
      <c r="P140" s="23"/>
      <c r="Q140" s="181" t="s">
        <v>1057</v>
      </c>
      <c r="R140" s="62"/>
    </row>
    <row r="141" spans="1:18" ht="17.25" customHeight="1" x14ac:dyDescent="0.2">
      <c r="A141" s="63" t="s">
        <v>13</v>
      </c>
      <c r="B141" s="36" t="s">
        <v>236</v>
      </c>
      <c r="C141" s="36"/>
      <c r="D141" s="36" t="s">
        <v>435</v>
      </c>
      <c r="E141" s="36" t="s">
        <v>16</v>
      </c>
      <c r="F141" s="36" t="s">
        <v>227</v>
      </c>
      <c r="G141" s="36"/>
      <c r="H141" s="62"/>
      <c r="I141" s="64" t="s">
        <v>648</v>
      </c>
      <c r="J141" s="36" t="s">
        <v>472</v>
      </c>
      <c r="K141" s="36"/>
      <c r="L141" s="36" t="s">
        <v>666</v>
      </c>
      <c r="M141" s="62"/>
      <c r="N141" s="150" t="s">
        <v>1049</v>
      </c>
      <c r="O141" s="181" t="s">
        <v>1051</v>
      </c>
      <c r="P141" s="23"/>
      <c r="Q141" s="181" t="s">
        <v>1057</v>
      </c>
      <c r="R141" s="62"/>
    </row>
    <row r="142" spans="1:18" ht="17.25" customHeight="1" x14ac:dyDescent="0.2">
      <c r="A142" s="63" t="s">
        <v>13</v>
      </c>
      <c r="B142" s="36" t="s">
        <v>237</v>
      </c>
      <c r="C142" s="36"/>
      <c r="D142" s="36" t="s">
        <v>435</v>
      </c>
      <c r="E142" s="36" t="s">
        <v>16</v>
      </c>
      <c r="F142" s="36" t="s">
        <v>227</v>
      </c>
      <c r="G142" s="36"/>
      <c r="H142" s="62"/>
      <c r="I142" s="64" t="s">
        <v>649</v>
      </c>
      <c r="J142" s="36" t="s">
        <v>472</v>
      </c>
      <c r="K142" s="36"/>
      <c r="L142" s="36" t="s">
        <v>666</v>
      </c>
      <c r="M142" s="62"/>
      <c r="N142" s="150" t="s">
        <v>1050</v>
      </c>
      <c r="O142" s="181" t="s">
        <v>1051</v>
      </c>
      <c r="P142" s="23"/>
      <c r="Q142" s="181" t="s">
        <v>1057</v>
      </c>
      <c r="R142" s="62"/>
    </row>
    <row r="143" spans="1:18" ht="17.25" customHeight="1" x14ac:dyDescent="0.2">
      <c r="A143" s="148" t="s">
        <v>21</v>
      </c>
      <c r="B143" s="36"/>
      <c r="C143" s="36"/>
      <c r="D143" s="36"/>
      <c r="E143" s="36"/>
      <c r="F143" s="36"/>
      <c r="G143" s="36"/>
      <c r="H143" s="62"/>
      <c r="I143" s="64"/>
      <c r="J143" s="36"/>
      <c r="K143" s="36"/>
      <c r="L143" s="36" t="str">
        <f>CONCATENATE(B143,". ",I143)</f>
        <v xml:space="preserve">. </v>
      </c>
      <c r="M143" s="62"/>
      <c r="N143" s="63"/>
      <c r="O143" s="23"/>
      <c r="P143" s="23"/>
      <c r="Q143" s="23" t="s">
        <v>783</v>
      </c>
      <c r="R143" s="62"/>
    </row>
    <row r="144" spans="1:18" ht="17.25" customHeight="1" x14ac:dyDescent="0.2">
      <c r="A144" s="63" t="s">
        <v>82</v>
      </c>
      <c r="B144" s="36" t="s">
        <v>238</v>
      </c>
      <c r="C144" s="36"/>
      <c r="D144" s="36"/>
      <c r="E144" s="36"/>
      <c r="F144" s="36" t="s">
        <v>834</v>
      </c>
      <c r="G144" s="36"/>
      <c r="H144" s="62"/>
      <c r="I144" s="64" t="s">
        <v>239</v>
      </c>
      <c r="J144" s="36"/>
      <c r="K144" s="36"/>
      <c r="L144" s="36"/>
      <c r="M144" s="62"/>
      <c r="N144" s="150" t="s">
        <v>1058</v>
      </c>
      <c r="O144" s="23"/>
      <c r="P144" s="23"/>
      <c r="Q144" s="23"/>
      <c r="R144" s="62"/>
    </row>
    <row r="145" spans="1:18" ht="17.25" customHeight="1" x14ac:dyDescent="0.2">
      <c r="A145" s="63" t="s">
        <v>885</v>
      </c>
      <c r="B145" s="36" t="s">
        <v>240</v>
      </c>
      <c r="C145" s="36"/>
      <c r="D145" s="36"/>
      <c r="E145" s="36" t="s">
        <v>16</v>
      </c>
      <c r="F145" s="180" t="s">
        <v>927</v>
      </c>
      <c r="G145" s="36"/>
      <c r="H145" s="62"/>
      <c r="I145" s="64" t="s">
        <v>661</v>
      </c>
      <c r="J145" s="36"/>
      <c r="K145" s="36"/>
      <c r="L145" s="36"/>
      <c r="M145" s="62"/>
      <c r="N145" s="150" t="s">
        <v>1059</v>
      </c>
      <c r="O145" s="23"/>
      <c r="P145" s="25"/>
      <c r="Q145" s="23"/>
      <c r="R145" s="62"/>
    </row>
    <row r="146" spans="1:18" ht="17.25" customHeight="1" x14ac:dyDescent="0.2">
      <c r="A146" s="148" t="s">
        <v>12</v>
      </c>
      <c r="B146" s="36" t="s">
        <v>669</v>
      </c>
      <c r="C146" s="36"/>
      <c r="D146" s="36"/>
      <c r="E146" s="36" t="s">
        <v>16</v>
      </c>
      <c r="F146" s="36" t="s">
        <v>890</v>
      </c>
      <c r="G146" s="36"/>
      <c r="H146" s="62" t="s">
        <v>73</v>
      </c>
      <c r="I146" s="64" t="s">
        <v>670</v>
      </c>
      <c r="J146" s="36"/>
      <c r="K146" s="36"/>
      <c r="L146" s="36"/>
      <c r="M146" s="62"/>
      <c r="N146" s="150" t="s">
        <v>1060</v>
      </c>
      <c r="O146" s="23"/>
      <c r="P146" s="36"/>
      <c r="Q146" s="23"/>
      <c r="R146" s="62"/>
    </row>
    <row r="147" spans="1:18" ht="17.25" customHeight="1" x14ac:dyDescent="0.2">
      <c r="A147" s="127" t="s">
        <v>82</v>
      </c>
      <c r="B147" s="36" t="s">
        <v>668</v>
      </c>
      <c r="C147" s="36"/>
      <c r="D147" s="36"/>
      <c r="E147" s="36"/>
      <c r="F147" s="36" t="s">
        <v>890</v>
      </c>
      <c r="G147" s="36"/>
      <c r="H147" s="62"/>
      <c r="I147" s="64" t="s">
        <v>671</v>
      </c>
      <c r="J147" s="36"/>
      <c r="K147" s="36" t="s">
        <v>473</v>
      </c>
      <c r="L147" s="36"/>
      <c r="M147" s="62"/>
      <c r="N147" s="150" t="s">
        <v>1061</v>
      </c>
      <c r="O147" s="23"/>
      <c r="P147" s="185" t="s">
        <v>1055</v>
      </c>
      <c r="Q147" s="23"/>
      <c r="R147" s="62"/>
    </row>
    <row r="148" spans="1:18" ht="17.25" customHeight="1" x14ac:dyDescent="0.2">
      <c r="A148" s="128" t="s">
        <v>13</v>
      </c>
      <c r="B148" s="36" t="s">
        <v>241</v>
      </c>
      <c r="C148" s="36"/>
      <c r="D148" s="36" t="s">
        <v>435</v>
      </c>
      <c r="E148" s="36" t="s">
        <v>16</v>
      </c>
      <c r="F148" s="36" t="s">
        <v>890</v>
      </c>
      <c r="G148" s="36"/>
      <c r="H148" s="62"/>
      <c r="I148" s="108" t="s">
        <v>835</v>
      </c>
      <c r="J148" s="36" t="s">
        <v>472</v>
      </c>
      <c r="K148" s="12"/>
      <c r="L148" s="36" t="s">
        <v>667</v>
      </c>
      <c r="M148" s="62"/>
      <c r="N148" s="150" t="s">
        <v>1062</v>
      </c>
      <c r="O148" s="181" t="s">
        <v>1051</v>
      </c>
      <c r="P148" s="24"/>
      <c r="Q148" s="181" t="s">
        <v>1056</v>
      </c>
      <c r="R148" s="62"/>
    </row>
    <row r="149" spans="1:18" ht="17.25" customHeight="1" x14ac:dyDescent="0.2">
      <c r="A149" s="128" t="s">
        <v>13</v>
      </c>
      <c r="B149" s="36" t="s">
        <v>242</v>
      </c>
      <c r="C149" s="36"/>
      <c r="D149" s="36" t="s">
        <v>435</v>
      </c>
      <c r="E149" s="36" t="s">
        <v>16</v>
      </c>
      <c r="F149" s="36" t="s">
        <v>890</v>
      </c>
      <c r="G149" s="36"/>
      <c r="H149" s="62"/>
      <c r="I149" s="64" t="s">
        <v>836</v>
      </c>
      <c r="J149" s="36" t="s">
        <v>472</v>
      </c>
      <c r="K149" s="36"/>
      <c r="L149" s="36" t="s">
        <v>667</v>
      </c>
      <c r="M149" s="62"/>
      <c r="N149" s="150" t="s">
        <v>1063</v>
      </c>
      <c r="O149" s="181" t="s">
        <v>1051</v>
      </c>
      <c r="P149" s="23"/>
      <c r="Q149" s="181" t="s">
        <v>1056</v>
      </c>
      <c r="R149" s="62"/>
    </row>
    <row r="150" spans="1:18" ht="17.25" customHeight="1" x14ac:dyDescent="0.2">
      <c r="A150" s="128" t="s">
        <v>13</v>
      </c>
      <c r="B150" s="36" t="s">
        <v>243</v>
      </c>
      <c r="C150" s="36"/>
      <c r="D150" s="36" t="s">
        <v>435</v>
      </c>
      <c r="E150" s="36" t="s">
        <v>16</v>
      </c>
      <c r="F150" s="36" t="s">
        <v>890</v>
      </c>
      <c r="G150" s="36"/>
      <c r="H150" s="62"/>
      <c r="I150" s="64" t="s">
        <v>837</v>
      </c>
      <c r="J150" s="36" t="s">
        <v>472</v>
      </c>
      <c r="K150" s="36"/>
      <c r="L150" s="36" t="s">
        <v>667</v>
      </c>
      <c r="M150" s="62"/>
      <c r="N150" s="150" t="s">
        <v>1064</v>
      </c>
      <c r="O150" s="181" t="s">
        <v>1051</v>
      </c>
      <c r="P150" s="23"/>
      <c r="Q150" s="181" t="s">
        <v>1056</v>
      </c>
      <c r="R150" s="62"/>
    </row>
    <row r="151" spans="1:18" ht="17.25" customHeight="1" x14ac:dyDescent="0.2">
      <c r="A151" s="128" t="s">
        <v>13</v>
      </c>
      <c r="B151" s="36" t="s">
        <v>244</v>
      </c>
      <c r="C151" s="36"/>
      <c r="D151" s="36" t="s">
        <v>435</v>
      </c>
      <c r="E151" s="36" t="s">
        <v>16</v>
      </c>
      <c r="F151" s="36" t="s">
        <v>890</v>
      </c>
      <c r="G151" s="36"/>
      <c r="H151" s="62"/>
      <c r="I151" s="64" t="s">
        <v>838</v>
      </c>
      <c r="J151" s="36" t="s">
        <v>472</v>
      </c>
      <c r="K151" s="36"/>
      <c r="L151" s="36" t="s">
        <v>667</v>
      </c>
      <c r="M151" s="62"/>
      <c r="N151" s="150" t="s">
        <v>1065</v>
      </c>
      <c r="O151" s="181" t="s">
        <v>1051</v>
      </c>
      <c r="P151" s="23"/>
      <c r="Q151" s="181" t="s">
        <v>1056</v>
      </c>
      <c r="R151" s="62"/>
    </row>
    <row r="152" spans="1:18" ht="17.25" customHeight="1" x14ac:dyDescent="0.2">
      <c r="A152" s="128" t="s">
        <v>13</v>
      </c>
      <c r="B152" s="36" t="s">
        <v>245</v>
      </c>
      <c r="C152" s="36"/>
      <c r="D152" s="36" t="s">
        <v>435</v>
      </c>
      <c r="E152" s="36" t="s">
        <v>16</v>
      </c>
      <c r="F152" s="36" t="s">
        <v>890</v>
      </c>
      <c r="G152" s="36"/>
      <c r="H152" s="62"/>
      <c r="I152" s="64" t="s">
        <v>839</v>
      </c>
      <c r="J152" s="36" t="s">
        <v>472</v>
      </c>
      <c r="K152" s="36"/>
      <c r="L152" s="36" t="s">
        <v>667</v>
      </c>
      <c r="M152" s="62"/>
      <c r="N152" s="150" t="s">
        <v>1066</v>
      </c>
      <c r="O152" s="181" t="s">
        <v>1051</v>
      </c>
      <c r="P152" s="23"/>
      <c r="Q152" s="181" t="s">
        <v>1056</v>
      </c>
      <c r="R152" s="62"/>
    </row>
    <row r="153" spans="1:18" ht="17.25" customHeight="1" x14ac:dyDescent="0.2">
      <c r="A153" s="128" t="s">
        <v>82</v>
      </c>
      <c r="B153" s="36" t="s">
        <v>673</v>
      </c>
      <c r="C153" s="36"/>
      <c r="D153" s="36"/>
      <c r="E153" s="36"/>
      <c r="F153" s="36"/>
      <c r="G153" s="36"/>
      <c r="H153" s="62"/>
      <c r="I153" s="64" t="s">
        <v>672</v>
      </c>
      <c r="J153" s="36"/>
      <c r="K153" s="36"/>
      <c r="L153" s="36"/>
      <c r="M153" s="62" t="s">
        <v>674</v>
      </c>
      <c r="N153" s="63" t="s">
        <v>672</v>
      </c>
      <c r="O153" s="23"/>
      <c r="P153" s="23"/>
      <c r="Q153" s="23"/>
      <c r="R153" s="62" t="s">
        <v>674</v>
      </c>
    </row>
    <row r="154" spans="1:18" ht="17.25" customHeight="1" x14ac:dyDescent="0.2">
      <c r="A154" s="148" t="s">
        <v>21</v>
      </c>
      <c r="B154" s="36"/>
      <c r="C154" s="36"/>
      <c r="D154" s="36"/>
      <c r="E154" s="36"/>
      <c r="F154" s="36"/>
      <c r="G154" s="36"/>
      <c r="H154" s="62"/>
      <c r="I154" s="64"/>
      <c r="J154" s="36"/>
      <c r="K154" s="36"/>
      <c r="L154" s="36"/>
      <c r="M154" s="62"/>
      <c r="N154" s="63"/>
      <c r="O154" s="23"/>
      <c r="P154" s="23"/>
      <c r="Q154" s="23"/>
      <c r="R154" s="62"/>
    </row>
    <row r="155" spans="1:18" ht="17.25" customHeight="1" x14ac:dyDescent="0.2">
      <c r="A155" s="63" t="s">
        <v>246</v>
      </c>
      <c r="B155" s="36" t="s">
        <v>247</v>
      </c>
      <c r="C155" s="36"/>
      <c r="D155" s="36"/>
      <c r="E155" s="36" t="s">
        <v>16</v>
      </c>
      <c r="F155" s="36" t="s">
        <v>224</v>
      </c>
      <c r="G155" s="36"/>
      <c r="H155" s="62"/>
      <c r="I155" s="64" t="s">
        <v>662</v>
      </c>
      <c r="J155" s="36"/>
      <c r="K155" s="36"/>
      <c r="L155" s="36"/>
      <c r="M155" s="62"/>
      <c r="N155" s="150" t="s">
        <v>1067</v>
      </c>
      <c r="O155" s="23"/>
      <c r="P155" s="23"/>
      <c r="Q155" s="23"/>
      <c r="R155" s="62"/>
    </row>
    <row r="156" spans="1:18" ht="17.25" customHeight="1" x14ac:dyDescent="0.2">
      <c r="A156" s="63" t="s">
        <v>246</v>
      </c>
      <c r="B156" s="36" t="s">
        <v>248</v>
      </c>
      <c r="C156" s="36"/>
      <c r="D156" s="36"/>
      <c r="E156" s="36" t="s">
        <v>16</v>
      </c>
      <c r="F156" s="36" t="s">
        <v>224</v>
      </c>
      <c r="G156" s="36"/>
      <c r="H156" s="62"/>
      <c r="I156" s="64" t="s">
        <v>663</v>
      </c>
      <c r="J156" s="36"/>
      <c r="K156" s="36"/>
      <c r="L156" s="36"/>
      <c r="M156" s="62"/>
      <c r="N156" s="150" t="s">
        <v>1068</v>
      </c>
      <c r="O156" s="23"/>
      <c r="P156" s="23"/>
      <c r="Q156" s="23"/>
      <c r="R156" s="62"/>
    </row>
    <row r="157" spans="1:18" ht="17.25" customHeight="1" x14ac:dyDescent="0.2">
      <c r="A157" s="63" t="s">
        <v>246</v>
      </c>
      <c r="B157" s="36" t="s">
        <v>249</v>
      </c>
      <c r="C157" s="36"/>
      <c r="D157" s="36"/>
      <c r="E157" s="36" t="s">
        <v>16</v>
      </c>
      <c r="F157" s="36" t="s">
        <v>224</v>
      </c>
      <c r="G157" s="36"/>
      <c r="H157" s="62"/>
      <c r="I157" s="64" t="s">
        <v>664</v>
      </c>
      <c r="J157" s="36"/>
      <c r="K157" s="36"/>
      <c r="L157" s="36"/>
      <c r="M157" s="62"/>
      <c r="N157" s="150" t="s">
        <v>1069</v>
      </c>
      <c r="O157" s="23"/>
      <c r="P157" s="23"/>
      <c r="Q157" s="23"/>
      <c r="R157" s="62"/>
    </row>
    <row r="158" spans="1:18" ht="17.25" customHeight="1" x14ac:dyDescent="0.2">
      <c r="A158" s="63" t="s">
        <v>250</v>
      </c>
      <c r="B158" s="36" t="s">
        <v>251</v>
      </c>
      <c r="C158" s="36"/>
      <c r="D158" s="36"/>
      <c r="E158" s="36" t="s">
        <v>16</v>
      </c>
      <c r="F158" s="36"/>
      <c r="G158" s="36"/>
      <c r="H158" s="62"/>
      <c r="I158" s="64" t="s">
        <v>665</v>
      </c>
      <c r="J158" s="36"/>
      <c r="K158" s="36"/>
      <c r="L158" s="36"/>
      <c r="M158" s="62"/>
      <c r="N158" s="150" t="s">
        <v>1070</v>
      </c>
      <c r="O158" s="23"/>
      <c r="P158" s="23"/>
      <c r="Q158" s="23"/>
      <c r="R158" s="62"/>
    </row>
    <row r="159" spans="1:18" ht="17.25" customHeight="1" x14ac:dyDescent="0.2">
      <c r="A159" s="126" t="s">
        <v>21</v>
      </c>
      <c r="B159" s="36"/>
      <c r="C159" s="36"/>
      <c r="D159" s="36"/>
      <c r="E159" s="36"/>
      <c r="F159" s="36"/>
      <c r="G159" s="36"/>
      <c r="H159" s="62"/>
      <c r="I159" s="64"/>
      <c r="J159" s="36"/>
      <c r="K159" s="36"/>
      <c r="L159" s="36"/>
      <c r="M159" s="62"/>
      <c r="N159" s="63"/>
      <c r="O159" s="23"/>
      <c r="P159" s="23"/>
      <c r="Q159" s="23"/>
      <c r="R159" s="62"/>
    </row>
    <row r="160" spans="1:18" ht="17.25" customHeight="1" x14ac:dyDescent="0.2">
      <c r="A160" s="68"/>
      <c r="H160" s="49"/>
      <c r="I160" s="80"/>
      <c r="M160" s="49"/>
      <c r="N160" s="48"/>
      <c r="R160" s="49"/>
    </row>
    <row r="161" spans="1:18" ht="17.25" customHeight="1" x14ac:dyDescent="0.2">
      <c r="A161" s="129" t="s">
        <v>12</v>
      </c>
      <c r="B161" s="37" t="s">
        <v>379</v>
      </c>
      <c r="C161" s="37"/>
      <c r="D161" s="37"/>
      <c r="E161" s="37"/>
      <c r="F161" s="37"/>
      <c r="G161" s="37"/>
      <c r="H161" s="66"/>
      <c r="I161" s="109" t="s">
        <v>380</v>
      </c>
      <c r="J161" s="37"/>
      <c r="K161" s="37"/>
      <c r="L161" s="37"/>
      <c r="M161" s="66"/>
      <c r="N161" s="65" t="s">
        <v>1071</v>
      </c>
      <c r="O161" s="26"/>
      <c r="P161" s="26"/>
      <c r="Q161" s="26"/>
      <c r="R161" s="66"/>
    </row>
    <row r="162" spans="1:18" ht="17.25" customHeight="1" x14ac:dyDescent="0.2">
      <c r="A162" s="67" t="s">
        <v>82</v>
      </c>
      <c r="B162" s="37" t="s">
        <v>252</v>
      </c>
      <c r="C162" s="37"/>
      <c r="D162" s="37"/>
      <c r="E162" s="37"/>
      <c r="F162" s="37"/>
      <c r="G162" s="37"/>
      <c r="H162" s="66"/>
      <c r="I162" s="110" t="s">
        <v>253</v>
      </c>
      <c r="J162" s="37"/>
      <c r="K162" s="37"/>
      <c r="L162" s="37"/>
      <c r="M162" s="66"/>
      <c r="N162" s="150" t="s">
        <v>1072</v>
      </c>
      <c r="O162" s="26"/>
      <c r="P162" s="26"/>
      <c r="Q162" s="26"/>
      <c r="R162" s="66"/>
    </row>
    <row r="163" spans="1:18" ht="17.25" customHeight="1" x14ac:dyDescent="0.2">
      <c r="A163" s="67" t="s">
        <v>13</v>
      </c>
      <c r="B163" s="37" t="s">
        <v>254</v>
      </c>
      <c r="C163" s="37"/>
      <c r="D163" s="37" t="s">
        <v>407</v>
      </c>
      <c r="E163" s="37" t="s">
        <v>16</v>
      </c>
      <c r="F163" s="37"/>
      <c r="G163" s="37"/>
      <c r="H163" s="66"/>
      <c r="I163" s="110" t="s">
        <v>860</v>
      </c>
      <c r="J163" s="37" t="s">
        <v>462</v>
      </c>
      <c r="K163" s="37" t="s">
        <v>148</v>
      </c>
      <c r="L163" s="37"/>
      <c r="M163" s="66"/>
      <c r="N163" s="150" t="s">
        <v>1073</v>
      </c>
      <c r="O163" s="181" t="s">
        <v>1077</v>
      </c>
      <c r="P163" s="26" t="s">
        <v>1078</v>
      </c>
      <c r="Q163" s="26"/>
      <c r="R163" s="66"/>
    </row>
    <row r="164" spans="1:18" ht="17.25" customHeight="1" x14ac:dyDescent="0.2">
      <c r="A164" s="67" t="s">
        <v>12</v>
      </c>
      <c r="B164" s="37" t="s">
        <v>799</v>
      </c>
      <c r="C164" s="37"/>
      <c r="D164" s="37"/>
      <c r="E164" s="37"/>
      <c r="F164" s="37" t="s">
        <v>409</v>
      </c>
      <c r="G164" s="37"/>
      <c r="H164" s="66" t="s">
        <v>73</v>
      </c>
      <c r="I164" s="110"/>
      <c r="J164" s="37"/>
      <c r="K164" s="37"/>
      <c r="L164" s="37"/>
      <c r="M164" s="66"/>
      <c r="N164" s="67"/>
      <c r="O164" s="26"/>
      <c r="P164" s="26"/>
      <c r="Q164" s="26"/>
      <c r="R164" s="66"/>
    </row>
    <row r="165" spans="1:18" ht="17.25" customHeight="1" x14ac:dyDescent="0.2">
      <c r="A165" s="67" t="s">
        <v>13</v>
      </c>
      <c r="B165" s="37" t="s">
        <v>255</v>
      </c>
      <c r="C165" s="37"/>
      <c r="D165" s="37" t="s">
        <v>461</v>
      </c>
      <c r="E165" s="37" t="s">
        <v>16</v>
      </c>
      <c r="F165" s="37"/>
      <c r="G165" s="37"/>
      <c r="H165" s="66"/>
      <c r="I165" s="110" t="s">
        <v>685</v>
      </c>
      <c r="J165" s="37" t="s">
        <v>463</v>
      </c>
      <c r="K165" s="37" t="s">
        <v>148</v>
      </c>
      <c r="L165" s="37"/>
      <c r="M165" s="66"/>
      <c r="N165" s="150" t="s">
        <v>1074</v>
      </c>
      <c r="O165" s="181" t="s">
        <v>1079</v>
      </c>
      <c r="P165" s="26" t="s">
        <v>1078</v>
      </c>
      <c r="Q165" s="26"/>
      <c r="R165" s="66"/>
    </row>
    <row r="166" spans="1:18" ht="17.25" customHeight="1" x14ac:dyDescent="0.2">
      <c r="A166" s="67" t="s">
        <v>82</v>
      </c>
      <c r="B166" s="37" t="s">
        <v>800</v>
      </c>
      <c r="C166" s="37"/>
      <c r="D166" s="37"/>
      <c r="E166" s="37"/>
      <c r="F166" s="37"/>
      <c r="G166" s="37"/>
      <c r="H166" s="66"/>
      <c r="I166" s="110" t="s">
        <v>801</v>
      </c>
      <c r="J166" s="37"/>
      <c r="K166" s="37"/>
      <c r="L166" s="37"/>
      <c r="M166" s="66" t="s">
        <v>802</v>
      </c>
      <c r="N166" s="67" t="s">
        <v>801</v>
      </c>
      <c r="O166" s="26"/>
      <c r="P166" s="26"/>
      <c r="Q166" s="26"/>
      <c r="R166" s="66" t="s">
        <v>802</v>
      </c>
    </row>
    <row r="167" spans="1:18" ht="17.25" customHeight="1" x14ac:dyDescent="0.2">
      <c r="A167" s="67" t="s">
        <v>21</v>
      </c>
      <c r="B167" s="37"/>
      <c r="C167" s="37"/>
      <c r="D167" s="37"/>
      <c r="E167" s="37"/>
      <c r="F167" s="37"/>
      <c r="G167" s="37"/>
      <c r="H167" s="66"/>
      <c r="I167" s="110"/>
      <c r="J167" s="37"/>
      <c r="K167" s="37"/>
      <c r="L167" s="37"/>
      <c r="M167" s="66"/>
      <c r="N167" s="67"/>
      <c r="O167" s="26"/>
      <c r="P167" s="26"/>
      <c r="Q167" s="26"/>
      <c r="R167" s="66"/>
    </row>
    <row r="168" spans="1:18" ht="17.25" customHeight="1" x14ac:dyDescent="0.2">
      <c r="A168" s="67" t="s">
        <v>13</v>
      </c>
      <c r="B168" s="37" t="s">
        <v>256</v>
      </c>
      <c r="C168" s="37"/>
      <c r="D168" s="37" t="s">
        <v>407</v>
      </c>
      <c r="E168" s="37" t="s">
        <v>16</v>
      </c>
      <c r="F168" s="37"/>
      <c r="G168" s="37"/>
      <c r="H168" s="66"/>
      <c r="I168" s="110" t="s">
        <v>686</v>
      </c>
      <c r="J168" s="37" t="s">
        <v>462</v>
      </c>
      <c r="K168" s="37" t="s">
        <v>148</v>
      </c>
      <c r="L168" s="37"/>
      <c r="M168" s="66"/>
      <c r="N168" s="150" t="s">
        <v>1075</v>
      </c>
      <c r="O168" s="181" t="s">
        <v>1077</v>
      </c>
      <c r="P168" s="26" t="s">
        <v>1078</v>
      </c>
      <c r="Q168" s="26"/>
      <c r="R168" s="66"/>
    </row>
    <row r="169" spans="1:18" ht="17.25" customHeight="1" x14ac:dyDescent="0.2">
      <c r="A169" s="129" t="s">
        <v>12</v>
      </c>
      <c r="B169" s="37" t="s">
        <v>803</v>
      </c>
      <c r="C169" s="37"/>
      <c r="D169" s="37"/>
      <c r="E169" s="37"/>
      <c r="F169" s="37" t="s">
        <v>408</v>
      </c>
      <c r="G169" s="37"/>
      <c r="H169" s="66" t="s">
        <v>73</v>
      </c>
      <c r="I169" s="110"/>
      <c r="J169" s="37"/>
      <c r="K169" s="37"/>
      <c r="L169" s="37"/>
      <c r="M169" s="66"/>
      <c r="N169" s="67"/>
      <c r="O169" s="26"/>
      <c r="P169" s="26"/>
      <c r="Q169" s="26"/>
      <c r="R169" s="66"/>
    </row>
    <row r="170" spans="1:18" ht="17.25" customHeight="1" x14ac:dyDescent="0.2">
      <c r="A170" s="67" t="s">
        <v>13</v>
      </c>
      <c r="B170" s="37" t="s">
        <v>257</v>
      </c>
      <c r="C170" s="37"/>
      <c r="D170" s="37" t="s">
        <v>461</v>
      </c>
      <c r="E170" s="37" t="s">
        <v>16</v>
      </c>
      <c r="F170" s="37"/>
      <c r="G170" s="37"/>
      <c r="H170" s="66"/>
      <c r="I170" s="110" t="s">
        <v>687</v>
      </c>
      <c r="J170" s="37" t="s">
        <v>463</v>
      </c>
      <c r="K170" s="37" t="s">
        <v>148</v>
      </c>
      <c r="L170" s="37"/>
      <c r="M170" s="66"/>
      <c r="N170" s="150" t="s">
        <v>1076</v>
      </c>
      <c r="O170" s="181" t="s">
        <v>1080</v>
      </c>
      <c r="P170" s="26" t="s">
        <v>1078</v>
      </c>
      <c r="Q170" s="26"/>
      <c r="R170" s="66"/>
    </row>
    <row r="171" spans="1:18" ht="17.25" customHeight="1" x14ac:dyDescent="0.2">
      <c r="A171" s="67" t="s">
        <v>82</v>
      </c>
      <c r="B171" s="37" t="s">
        <v>804</v>
      </c>
      <c r="C171" s="37"/>
      <c r="D171" s="37"/>
      <c r="E171" s="37"/>
      <c r="F171" s="37"/>
      <c r="G171" s="37"/>
      <c r="H171" s="66"/>
      <c r="I171" s="110" t="s">
        <v>805</v>
      </c>
      <c r="J171" s="37"/>
      <c r="K171" s="37"/>
      <c r="L171" s="37"/>
      <c r="M171" s="66" t="s">
        <v>806</v>
      </c>
      <c r="N171" s="67" t="s">
        <v>805</v>
      </c>
      <c r="O171" s="26"/>
      <c r="P171" s="26"/>
      <c r="Q171" s="26"/>
      <c r="R171" s="66" t="s">
        <v>806</v>
      </c>
    </row>
    <row r="172" spans="1:18" ht="17.25" customHeight="1" x14ac:dyDescent="0.2">
      <c r="A172" s="67" t="s">
        <v>21</v>
      </c>
      <c r="B172" s="37"/>
      <c r="C172" s="37"/>
      <c r="D172" s="37"/>
      <c r="E172" s="37"/>
      <c r="F172" s="37"/>
      <c r="G172" s="37"/>
      <c r="H172" s="66"/>
      <c r="I172" s="110"/>
      <c r="J172" s="37"/>
      <c r="K172" s="37"/>
      <c r="L172" s="37"/>
      <c r="M172" s="66"/>
      <c r="N172" s="67"/>
      <c r="O172" s="26"/>
      <c r="P172" s="26"/>
      <c r="Q172" s="26"/>
      <c r="R172" s="66"/>
    </row>
    <row r="173" spans="1:18" ht="17.25" customHeight="1" x14ac:dyDescent="0.2">
      <c r="A173" s="149" t="s">
        <v>12</v>
      </c>
      <c r="B173" s="37" t="s">
        <v>258</v>
      </c>
      <c r="C173" s="37"/>
      <c r="D173" s="37"/>
      <c r="E173" s="37"/>
      <c r="F173" s="37"/>
      <c r="G173" s="37"/>
      <c r="H173" s="66"/>
      <c r="I173" s="110" t="s">
        <v>259</v>
      </c>
      <c r="J173" s="37"/>
      <c r="K173" s="37"/>
      <c r="L173" s="37"/>
      <c r="M173" s="66"/>
      <c r="N173" s="150" t="s">
        <v>1082</v>
      </c>
      <c r="O173" s="26"/>
      <c r="P173" s="26"/>
      <c r="Q173" s="26"/>
      <c r="R173" s="66"/>
    </row>
    <row r="174" spans="1:18" ht="17.25" customHeight="1" x14ac:dyDescent="0.2">
      <c r="A174" s="67" t="s">
        <v>82</v>
      </c>
      <c r="B174" s="37" t="s">
        <v>260</v>
      </c>
      <c r="C174" s="37"/>
      <c r="D174" s="37"/>
      <c r="E174" s="37"/>
      <c r="F174" s="37"/>
      <c r="G174" s="37"/>
      <c r="H174" s="66"/>
      <c r="I174" s="110" t="s">
        <v>793</v>
      </c>
      <c r="J174" s="37"/>
      <c r="K174" s="37"/>
      <c r="L174" s="37"/>
      <c r="M174" s="66"/>
      <c r="N174" s="150" t="s">
        <v>1081</v>
      </c>
      <c r="O174" s="26"/>
      <c r="P174" s="26"/>
      <c r="Q174" s="26"/>
      <c r="R174" s="66"/>
    </row>
    <row r="175" spans="1:18" ht="17.25" customHeight="1" x14ac:dyDescent="0.2">
      <c r="A175" s="67" t="s">
        <v>261</v>
      </c>
      <c r="B175" s="37" t="s">
        <v>262</v>
      </c>
      <c r="C175" s="37"/>
      <c r="D175" s="37"/>
      <c r="E175" s="37" t="s">
        <v>16</v>
      </c>
      <c r="F175" s="37"/>
      <c r="G175" s="37"/>
      <c r="H175" s="66"/>
      <c r="I175" s="110" t="s">
        <v>794</v>
      </c>
      <c r="J175" s="37"/>
      <c r="K175" s="37"/>
      <c r="L175" s="37"/>
      <c r="M175" s="66"/>
      <c r="N175" s="150" t="s">
        <v>1083</v>
      </c>
      <c r="O175" s="26"/>
      <c r="P175" s="26"/>
      <c r="Q175" s="26"/>
      <c r="R175" s="66"/>
    </row>
    <row r="176" spans="1:18" ht="17.25" customHeight="1" x14ac:dyDescent="0.2">
      <c r="A176" s="67" t="s">
        <v>261</v>
      </c>
      <c r="B176" s="37" t="s">
        <v>263</v>
      </c>
      <c r="C176" s="37"/>
      <c r="D176" s="37"/>
      <c r="E176" s="37" t="s">
        <v>16</v>
      </c>
      <c r="F176" s="37"/>
      <c r="G176" s="37"/>
      <c r="H176" s="66"/>
      <c r="I176" s="110" t="s">
        <v>689</v>
      </c>
      <c r="J176" s="37"/>
      <c r="K176" s="37"/>
      <c r="L176" s="37"/>
      <c r="M176" s="66"/>
      <c r="N176" s="150" t="s">
        <v>1084</v>
      </c>
      <c r="O176" s="26"/>
      <c r="P176" s="26"/>
      <c r="Q176" s="26"/>
      <c r="R176" s="66"/>
    </row>
    <row r="177" spans="1:18" ht="17.25" customHeight="1" x14ac:dyDescent="0.2">
      <c r="A177" s="67" t="s">
        <v>261</v>
      </c>
      <c r="B177" s="37" t="s">
        <v>264</v>
      </c>
      <c r="C177" s="37"/>
      <c r="D177" s="37"/>
      <c r="E177" s="37" t="s">
        <v>16</v>
      </c>
      <c r="F177" s="37"/>
      <c r="G177" s="37"/>
      <c r="H177" s="66"/>
      <c r="I177" s="110" t="s">
        <v>690</v>
      </c>
      <c r="J177" s="37"/>
      <c r="K177" s="37"/>
      <c r="L177" s="37"/>
      <c r="M177" s="66"/>
      <c r="N177" s="150" t="s">
        <v>1085</v>
      </c>
      <c r="O177" s="26"/>
      <c r="P177" s="26"/>
      <c r="Q177" s="26"/>
      <c r="R177" s="66"/>
    </row>
    <row r="178" spans="1:18" ht="17.25" customHeight="1" x14ac:dyDescent="0.2">
      <c r="A178" s="67" t="s">
        <v>265</v>
      </c>
      <c r="B178" s="37" t="s">
        <v>266</v>
      </c>
      <c r="C178" s="37"/>
      <c r="D178" s="37"/>
      <c r="E178" s="37" t="s">
        <v>16</v>
      </c>
      <c r="F178" s="37"/>
      <c r="G178" s="37"/>
      <c r="H178" s="66"/>
      <c r="I178" s="110" t="s">
        <v>691</v>
      </c>
      <c r="J178" s="37"/>
      <c r="K178" s="37"/>
      <c r="L178" s="37"/>
      <c r="M178" s="66"/>
      <c r="N178" s="150" t="s">
        <v>1086</v>
      </c>
      <c r="O178" s="26"/>
      <c r="P178" s="26"/>
      <c r="Q178" s="26"/>
      <c r="R178" s="66"/>
    </row>
    <row r="179" spans="1:18" ht="17.25" customHeight="1" x14ac:dyDescent="0.2">
      <c r="A179" s="149" t="s">
        <v>21</v>
      </c>
      <c r="B179" s="37"/>
      <c r="C179" s="37"/>
      <c r="D179" s="37"/>
      <c r="E179" s="37"/>
      <c r="F179" s="37"/>
      <c r="G179" s="37"/>
      <c r="H179" s="66"/>
      <c r="I179" s="110"/>
      <c r="J179" s="37"/>
      <c r="K179" s="37"/>
      <c r="L179" s="37"/>
      <c r="M179" s="66"/>
      <c r="N179" s="67"/>
      <c r="O179" s="26"/>
      <c r="P179" s="26"/>
      <c r="Q179" s="26"/>
      <c r="R179" s="66"/>
    </row>
    <row r="180" spans="1:18" ht="17.25" customHeight="1" x14ac:dyDescent="0.2">
      <c r="A180" s="67" t="s">
        <v>267</v>
      </c>
      <c r="B180" s="37" t="s">
        <v>268</v>
      </c>
      <c r="C180" s="37"/>
      <c r="D180" s="37"/>
      <c r="E180" s="37" t="s">
        <v>16</v>
      </c>
      <c r="F180" s="37"/>
      <c r="G180" s="37"/>
      <c r="H180" s="66"/>
      <c r="I180" s="110" t="s">
        <v>692</v>
      </c>
      <c r="J180" s="37"/>
      <c r="K180" s="37"/>
      <c r="L180" s="37"/>
      <c r="M180" s="66"/>
      <c r="N180" s="150" t="s">
        <v>1087</v>
      </c>
      <c r="O180" s="26"/>
      <c r="P180" s="26"/>
      <c r="Q180" s="26"/>
      <c r="R180" s="66"/>
    </row>
    <row r="181" spans="1:18" ht="17.25" customHeight="1" x14ac:dyDescent="0.2">
      <c r="A181" s="67" t="s">
        <v>880</v>
      </c>
      <c r="B181" s="37" t="s">
        <v>269</v>
      </c>
      <c r="C181" s="37"/>
      <c r="D181" s="37"/>
      <c r="E181" s="37" t="s">
        <v>16</v>
      </c>
      <c r="F181" s="37"/>
      <c r="G181" s="37"/>
      <c r="H181" s="66"/>
      <c r="I181" s="110" t="s">
        <v>693</v>
      </c>
      <c r="J181" s="37"/>
      <c r="K181" s="37"/>
      <c r="L181" s="37"/>
      <c r="M181" s="66"/>
      <c r="N181" s="150" t="s">
        <v>1088</v>
      </c>
      <c r="O181" s="26"/>
      <c r="P181" s="26"/>
      <c r="Q181" s="26"/>
      <c r="R181" s="66"/>
    </row>
    <row r="182" spans="1:18" ht="17.25" customHeight="1" x14ac:dyDescent="0.2">
      <c r="A182" s="149" t="s">
        <v>12</v>
      </c>
      <c r="B182" s="37" t="s">
        <v>675</v>
      </c>
      <c r="C182" s="37"/>
      <c r="D182" s="37"/>
      <c r="E182" s="37"/>
      <c r="F182" s="37"/>
      <c r="G182" s="37"/>
      <c r="H182" s="66" t="s">
        <v>73</v>
      </c>
      <c r="I182" s="110" t="s">
        <v>676</v>
      </c>
      <c r="J182" s="37"/>
      <c r="K182" s="37"/>
      <c r="L182" s="37"/>
      <c r="M182" s="66"/>
      <c r="N182" s="150" t="s">
        <v>1089</v>
      </c>
      <c r="O182" s="26"/>
      <c r="P182" s="26"/>
      <c r="Q182" s="26"/>
      <c r="R182" s="66"/>
    </row>
    <row r="183" spans="1:18" ht="17.25" customHeight="1" x14ac:dyDescent="0.2">
      <c r="A183" s="130" t="s">
        <v>82</v>
      </c>
      <c r="B183" s="37" t="s">
        <v>677</v>
      </c>
      <c r="C183" s="37"/>
      <c r="D183" s="37"/>
      <c r="E183" s="37"/>
      <c r="F183" s="37"/>
      <c r="G183" s="37"/>
      <c r="H183" s="66"/>
      <c r="I183" s="110" t="s">
        <v>688</v>
      </c>
      <c r="J183" s="37"/>
      <c r="K183" s="37"/>
      <c r="L183" s="37"/>
      <c r="M183" s="66"/>
      <c r="N183" s="150" t="s">
        <v>1090</v>
      </c>
      <c r="O183" s="26"/>
      <c r="P183" s="26"/>
      <c r="Q183" s="26"/>
      <c r="R183" s="66"/>
    </row>
    <row r="184" spans="1:18" ht="17.25" customHeight="1" x14ac:dyDescent="0.2">
      <c r="A184" s="67" t="s">
        <v>885</v>
      </c>
      <c r="B184" s="37" t="s">
        <v>270</v>
      </c>
      <c r="C184" s="37"/>
      <c r="D184" s="37"/>
      <c r="E184" s="37" t="s">
        <v>16</v>
      </c>
      <c r="F184" s="37"/>
      <c r="G184" s="37"/>
      <c r="H184" s="66"/>
      <c r="I184" s="110" t="s">
        <v>678</v>
      </c>
      <c r="J184" s="37"/>
      <c r="K184" s="37"/>
      <c r="L184" s="37" t="s">
        <v>684</v>
      </c>
      <c r="M184" s="66"/>
      <c r="N184" s="150" t="s">
        <v>1091</v>
      </c>
      <c r="O184" s="26"/>
      <c r="P184" s="26"/>
      <c r="Q184" s="181" t="s">
        <v>1098</v>
      </c>
      <c r="R184" s="66"/>
    </row>
    <row r="185" spans="1:18" ht="17.25" customHeight="1" x14ac:dyDescent="0.2">
      <c r="A185" s="67" t="s">
        <v>885</v>
      </c>
      <c r="B185" s="37" t="s">
        <v>271</v>
      </c>
      <c r="C185" s="37"/>
      <c r="D185" s="37"/>
      <c r="E185" s="37" t="s">
        <v>16</v>
      </c>
      <c r="F185" s="37"/>
      <c r="G185" s="37"/>
      <c r="H185" s="66"/>
      <c r="I185" s="110" t="s">
        <v>683</v>
      </c>
      <c r="J185" s="37"/>
      <c r="K185" s="37"/>
      <c r="L185" s="37" t="s">
        <v>684</v>
      </c>
      <c r="M185" s="66"/>
      <c r="N185" s="150" t="s">
        <v>1092</v>
      </c>
      <c r="O185" s="26"/>
      <c r="P185" s="26"/>
      <c r="Q185" s="181" t="s">
        <v>1098</v>
      </c>
      <c r="R185" s="66"/>
    </row>
    <row r="186" spans="1:18" ht="17.25" customHeight="1" x14ac:dyDescent="0.2">
      <c r="A186" s="67" t="s">
        <v>885</v>
      </c>
      <c r="B186" s="37" t="s">
        <v>272</v>
      </c>
      <c r="C186" s="37"/>
      <c r="D186" s="37"/>
      <c r="E186" s="37" t="s">
        <v>16</v>
      </c>
      <c r="F186" s="37"/>
      <c r="G186" s="37"/>
      <c r="H186" s="66"/>
      <c r="I186" s="110" t="s">
        <v>679</v>
      </c>
      <c r="J186" s="37"/>
      <c r="K186" s="37"/>
      <c r="L186" s="37" t="s">
        <v>684</v>
      </c>
      <c r="M186" s="66"/>
      <c r="N186" s="150" t="s">
        <v>1093</v>
      </c>
      <c r="O186" s="26"/>
      <c r="P186" s="26"/>
      <c r="Q186" s="181" t="s">
        <v>1098</v>
      </c>
      <c r="R186" s="66"/>
    </row>
    <row r="187" spans="1:18" ht="17.25" customHeight="1" x14ac:dyDescent="0.2">
      <c r="A187" s="67" t="s">
        <v>885</v>
      </c>
      <c r="B187" s="37" t="s">
        <v>273</v>
      </c>
      <c r="C187" s="37"/>
      <c r="D187" s="37"/>
      <c r="E187" s="37" t="s">
        <v>16</v>
      </c>
      <c r="F187" s="37"/>
      <c r="G187" s="37"/>
      <c r="H187" s="66"/>
      <c r="I187" s="110" t="s">
        <v>680</v>
      </c>
      <c r="J187" s="37"/>
      <c r="K187" s="37"/>
      <c r="L187" s="37" t="s">
        <v>684</v>
      </c>
      <c r="M187" s="66"/>
      <c r="N187" s="150" t="s">
        <v>1094</v>
      </c>
      <c r="O187" s="26"/>
      <c r="P187" s="26"/>
      <c r="Q187" s="181" t="s">
        <v>1098</v>
      </c>
      <c r="R187" s="66"/>
    </row>
    <row r="188" spans="1:18" ht="17.25" customHeight="1" x14ac:dyDescent="0.2">
      <c r="A188" s="67" t="s">
        <v>885</v>
      </c>
      <c r="B188" s="37" t="s">
        <v>274</v>
      </c>
      <c r="C188" s="37"/>
      <c r="D188" s="37"/>
      <c r="E188" s="37" t="s">
        <v>16</v>
      </c>
      <c r="F188" s="37"/>
      <c r="G188" s="37"/>
      <c r="H188" s="66"/>
      <c r="I188" s="110" t="s">
        <v>681</v>
      </c>
      <c r="J188" s="37"/>
      <c r="K188" s="37"/>
      <c r="L188" s="37" t="s">
        <v>684</v>
      </c>
      <c r="M188" s="66"/>
      <c r="N188" s="150" t="s">
        <v>1095</v>
      </c>
      <c r="O188" s="26"/>
      <c r="P188" s="26"/>
      <c r="Q188" s="181" t="s">
        <v>1098</v>
      </c>
      <c r="R188" s="66"/>
    </row>
    <row r="189" spans="1:18" ht="17.25" customHeight="1" x14ac:dyDescent="0.2">
      <c r="A189" s="67" t="s">
        <v>885</v>
      </c>
      <c r="B189" s="37" t="s">
        <v>275</v>
      </c>
      <c r="C189" s="37"/>
      <c r="D189" s="37"/>
      <c r="E189" s="37" t="s">
        <v>16</v>
      </c>
      <c r="F189" s="37"/>
      <c r="G189" s="37"/>
      <c r="H189" s="66"/>
      <c r="I189" s="110" t="s">
        <v>682</v>
      </c>
      <c r="J189" s="37"/>
      <c r="K189" s="37"/>
      <c r="L189" s="37" t="s">
        <v>684</v>
      </c>
      <c r="M189" s="66"/>
      <c r="N189" s="150" t="s">
        <v>1096</v>
      </c>
      <c r="O189" s="26"/>
      <c r="P189" s="26"/>
      <c r="Q189" s="181" t="s">
        <v>1098</v>
      </c>
      <c r="R189" s="66"/>
    </row>
    <row r="190" spans="1:18" ht="17.25" customHeight="1" x14ac:dyDescent="0.2">
      <c r="A190" s="149" t="s">
        <v>21</v>
      </c>
      <c r="B190" s="37"/>
      <c r="C190" s="37"/>
      <c r="D190" s="37"/>
      <c r="E190" s="37"/>
      <c r="F190" s="37"/>
      <c r="G190" s="37"/>
      <c r="H190" s="66"/>
      <c r="I190" s="110"/>
      <c r="J190" s="37"/>
      <c r="K190" s="37"/>
      <c r="L190" s="37"/>
      <c r="M190" s="66"/>
      <c r="N190" s="67"/>
      <c r="O190" s="26"/>
      <c r="P190" s="26"/>
      <c r="Q190" s="26"/>
      <c r="R190" s="66"/>
    </row>
    <row r="191" spans="1:18" ht="17.25" customHeight="1" x14ac:dyDescent="0.2">
      <c r="A191" s="149" t="s">
        <v>12</v>
      </c>
      <c r="B191" s="37" t="s">
        <v>1204</v>
      </c>
      <c r="C191" s="37"/>
      <c r="D191" s="37"/>
      <c r="E191" s="37"/>
      <c r="F191" s="37"/>
      <c r="G191" s="37"/>
      <c r="H191" s="66"/>
      <c r="I191" s="110"/>
      <c r="J191" s="37"/>
      <c r="K191" s="37"/>
      <c r="L191" s="37"/>
      <c r="M191" s="66"/>
      <c r="N191" s="67"/>
      <c r="O191" s="26"/>
      <c r="P191" s="26"/>
      <c r="Q191" s="26"/>
      <c r="R191" s="66"/>
    </row>
    <row r="192" spans="1:18" ht="17.25" customHeight="1" x14ac:dyDescent="0.2">
      <c r="A192" s="149" t="s">
        <v>82</v>
      </c>
      <c r="B192" s="37" t="s">
        <v>1201</v>
      </c>
      <c r="C192" s="37"/>
      <c r="D192" s="37"/>
      <c r="E192" s="37"/>
      <c r="F192" s="37"/>
      <c r="G192" s="37"/>
      <c r="H192" s="66"/>
      <c r="I192" s="110" t="s">
        <v>1203</v>
      </c>
      <c r="J192" s="37"/>
      <c r="K192" s="37"/>
      <c r="L192" s="37"/>
      <c r="M192" s="66"/>
      <c r="N192" s="150" t="s">
        <v>1202</v>
      </c>
      <c r="O192" s="26"/>
      <c r="P192" s="26"/>
      <c r="Q192" s="26"/>
      <c r="R192" s="66"/>
    </row>
    <row r="193" spans="1:18" ht="17.25" customHeight="1" x14ac:dyDescent="0.2">
      <c r="A193" s="67" t="s">
        <v>17</v>
      </c>
      <c r="B193" s="37" t="s">
        <v>276</v>
      </c>
      <c r="C193" s="37"/>
      <c r="D193" s="37"/>
      <c r="E193" s="37" t="s">
        <v>16</v>
      </c>
      <c r="F193" s="37" t="s">
        <v>277</v>
      </c>
      <c r="G193" s="37"/>
      <c r="H193" s="66"/>
      <c r="I193" s="110" t="s">
        <v>694</v>
      </c>
      <c r="J193" s="37"/>
      <c r="K193" s="37"/>
      <c r="L193" s="37"/>
      <c r="M193" s="66"/>
      <c r="N193" s="184" t="s">
        <v>1097</v>
      </c>
      <c r="O193" s="26"/>
      <c r="P193" s="26"/>
      <c r="Q193" s="26"/>
      <c r="R193" s="66"/>
    </row>
    <row r="194" spans="1:18" ht="17.25" customHeight="1" x14ac:dyDescent="0.2">
      <c r="A194" s="129" t="s">
        <v>21</v>
      </c>
      <c r="B194" s="37"/>
      <c r="C194" s="37"/>
      <c r="D194" s="37"/>
      <c r="E194" s="37"/>
      <c r="F194" s="37"/>
      <c r="G194" s="37"/>
      <c r="H194" s="66"/>
      <c r="I194" s="110"/>
      <c r="J194" s="37"/>
      <c r="K194" s="37"/>
      <c r="L194" s="37"/>
      <c r="M194" s="66"/>
      <c r="N194" s="67"/>
      <c r="O194" s="26"/>
      <c r="P194" s="26"/>
      <c r="Q194" s="26"/>
      <c r="R194" s="66"/>
    </row>
    <row r="195" spans="1:18" ht="17.25" customHeight="1" x14ac:dyDescent="0.2">
      <c r="A195" s="129" t="s">
        <v>21</v>
      </c>
      <c r="B195" s="37"/>
      <c r="C195" s="37"/>
      <c r="D195" s="37"/>
      <c r="E195" s="37"/>
      <c r="F195" s="37"/>
      <c r="G195" s="37"/>
      <c r="H195" s="66"/>
      <c r="I195" s="110"/>
      <c r="J195" s="37"/>
      <c r="K195" s="37"/>
      <c r="L195" s="37"/>
      <c r="M195" s="66"/>
      <c r="N195" s="67"/>
      <c r="O195" s="26"/>
      <c r="P195" s="26"/>
      <c r="Q195" s="26"/>
      <c r="R195" s="66"/>
    </row>
    <row r="196" spans="1:18" ht="17.25" customHeight="1" x14ac:dyDescent="0.2">
      <c r="A196" s="68"/>
      <c r="B196" s="13"/>
      <c r="C196" s="13"/>
      <c r="D196" s="13"/>
      <c r="E196" s="13"/>
      <c r="F196" s="13"/>
      <c r="G196" s="13"/>
      <c r="H196" s="131"/>
      <c r="I196" s="80"/>
      <c r="J196" s="13"/>
      <c r="K196" s="13"/>
      <c r="L196" s="13"/>
      <c r="M196" s="49"/>
      <c r="N196" s="68"/>
      <c r="O196" s="13"/>
      <c r="P196" s="13"/>
      <c r="Q196" s="13"/>
      <c r="R196" s="49"/>
    </row>
    <row r="197" spans="1:18" ht="17.25" customHeight="1" x14ac:dyDescent="0.2">
      <c r="A197" s="132" t="s">
        <v>12</v>
      </c>
      <c r="B197" s="14" t="s">
        <v>381</v>
      </c>
      <c r="C197" s="14"/>
      <c r="D197" s="14"/>
      <c r="E197" s="14"/>
      <c r="F197" s="14"/>
      <c r="G197" s="14"/>
      <c r="H197" s="133"/>
      <c r="I197" s="69" t="s">
        <v>382</v>
      </c>
      <c r="J197" s="14"/>
      <c r="K197" s="14"/>
      <c r="L197" s="14"/>
      <c r="M197" s="70"/>
      <c r="N197" s="69" t="s">
        <v>1102</v>
      </c>
      <c r="O197" s="27"/>
      <c r="P197" s="27"/>
      <c r="Q197" s="27"/>
      <c r="R197" s="70"/>
    </row>
    <row r="198" spans="1:18" ht="17.25" customHeight="1" x14ac:dyDescent="0.2">
      <c r="A198" s="85" t="s">
        <v>82</v>
      </c>
      <c r="B198" s="38" t="s">
        <v>798</v>
      </c>
      <c r="C198" s="38"/>
      <c r="D198" s="14"/>
      <c r="E198" s="14"/>
      <c r="F198" s="14"/>
      <c r="G198" s="14"/>
      <c r="H198" s="133"/>
      <c r="I198" s="71" t="s">
        <v>278</v>
      </c>
      <c r="J198" s="14"/>
      <c r="K198" s="14"/>
      <c r="L198" s="14"/>
      <c r="M198" s="70"/>
      <c r="N198" s="170" t="s">
        <v>1103</v>
      </c>
      <c r="O198" s="27"/>
      <c r="P198" s="27"/>
      <c r="Q198" s="27"/>
      <c r="R198" s="70"/>
    </row>
    <row r="199" spans="1:18" ht="17.25" customHeight="1" x14ac:dyDescent="0.2">
      <c r="A199" s="134" t="s">
        <v>12</v>
      </c>
      <c r="B199" s="39" t="s">
        <v>522</v>
      </c>
      <c r="C199" s="39"/>
      <c r="D199" s="39"/>
      <c r="E199" s="39"/>
      <c r="F199" s="39"/>
      <c r="G199" s="39"/>
      <c r="H199" s="70" t="s">
        <v>73</v>
      </c>
      <c r="I199" s="71"/>
      <c r="J199" s="39"/>
      <c r="K199" s="39"/>
      <c r="L199" s="39"/>
      <c r="M199" s="70"/>
      <c r="N199" s="72"/>
      <c r="O199" s="27"/>
      <c r="P199" s="27"/>
      <c r="Q199" s="27"/>
      <c r="R199" s="70"/>
    </row>
    <row r="200" spans="1:18" ht="17.25" customHeight="1" x14ac:dyDescent="0.2">
      <c r="A200" s="85" t="s">
        <v>885</v>
      </c>
      <c r="B200" s="14" t="s">
        <v>279</v>
      </c>
      <c r="C200" s="14"/>
      <c r="D200" s="14"/>
      <c r="E200" s="39" t="s">
        <v>16</v>
      </c>
      <c r="F200" s="14"/>
      <c r="G200" s="14"/>
      <c r="H200" s="133"/>
      <c r="I200" s="71" t="s">
        <v>915</v>
      </c>
      <c r="J200" s="14"/>
      <c r="K200" s="39"/>
      <c r="L200" s="14"/>
      <c r="M200" s="70"/>
      <c r="N200" s="82" t="s">
        <v>1104</v>
      </c>
      <c r="O200" s="27"/>
      <c r="P200" s="39"/>
      <c r="Q200" s="38"/>
      <c r="R200" s="70"/>
    </row>
    <row r="201" spans="1:18" ht="17.25" customHeight="1" x14ac:dyDescent="0.2">
      <c r="A201" s="71" t="s">
        <v>82</v>
      </c>
      <c r="B201" s="38" t="s">
        <v>406</v>
      </c>
      <c r="C201" s="38"/>
      <c r="D201" s="14"/>
      <c r="E201" s="14"/>
      <c r="F201" s="14"/>
      <c r="G201" s="14"/>
      <c r="H201" s="133"/>
      <c r="I201" s="71" t="s">
        <v>516</v>
      </c>
      <c r="J201" s="14"/>
      <c r="K201" s="14"/>
      <c r="L201" s="14"/>
      <c r="M201" s="70" t="s">
        <v>1197</v>
      </c>
      <c r="N201" s="96" t="s">
        <v>516</v>
      </c>
      <c r="O201" s="27"/>
      <c r="P201" s="27"/>
      <c r="Q201" s="27"/>
      <c r="R201" s="70" t="s">
        <v>1197</v>
      </c>
    </row>
    <row r="202" spans="1:18" ht="17.25" customHeight="1" x14ac:dyDescent="0.2">
      <c r="A202" s="134" t="s">
        <v>21</v>
      </c>
      <c r="B202" s="39"/>
      <c r="C202" s="39"/>
      <c r="D202" s="39"/>
      <c r="E202" s="39"/>
      <c r="F202" s="39"/>
      <c r="G202" s="39"/>
      <c r="H202" s="70"/>
      <c r="I202" s="71"/>
      <c r="J202" s="39"/>
      <c r="K202" s="39"/>
      <c r="L202" s="39"/>
      <c r="M202" s="70"/>
      <c r="N202" s="72"/>
      <c r="O202" s="27"/>
      <c r="P202" s="27"/>
      <c r="Q202" s="27"/>
      <c r="R202" s="70"/>
    </row>
    <row r="203" spans="1:18" ht="17.25" customHeight="1" x14ac:dyDescent="0.2">
      <c r="A203" s="85" t="s">
        <v>13</v>
      </c>
      <c r="B203" s="14" t="s">
        <v>280</v>
      </c>
      <c r="C203" s="14"/>
      <c r="D203" s="39" t="s">
        <v>429</v>
      </c>
      <c r="E203" s="39" t="s">
        <v>16</v>
      </c>
      <c r="F203" s="14" t="s">
        <v>281</v>
      </c>
      <c r="G203" s="14"/>
      <c r="H203" s="133"/>
      <c r="I203" s="71" t="s">
        <v>695</v>
      </c>
      <c r="J203" s="39" t="s">
        <v>404</v>
      </c>
      <c r="K203" s="39" t="s">
        <v>148</v>
      </c>
      <c r="L203" s="14"/>
      <c r="M203" s="70"/>
      <c r="N203" s="82" t="s">
        <v>1105</v>
      </c>
      <c r="O203" s="181" t="s">
        <v>1106</v>
      </c>
      <c r="P203" s="181" t="s">
        <v>1053</v>
      </c>
      <c r="Q203" s="27"/>
      <c r="R203" s="70"/>
    </row>
    <row r="204" spans="1:18" ht="17.25" customHeight="1" x14ac:dyDescent="0.2">
      <c r="A204" s="134" t="s">
        <v>12</v>
      </c>
      <c r="B204" s="38" t="s">
        <v>485</v>
      </c>
      <c r="C204" s="38"/>
      <c r="D204" s="39"/>
      <c r="E204" s="39"/>
      <c r="F204" s="38" t="s">
        <v>430</v>
      </c>
      <c r="G204" s="14"/>
      <c r="H204" s="70" t="s">
        <v>73</v>
      </c>
      <c r="I204" s="71"/>
      <c r="J204" s="39"/>
      <c r="K204" s="39"/>
      <c r="L204" s="14"/>
      <c r="M204" s="70"/>
      <c r="N204" s="85"/>
      <c r="O204" s="27"/>
      <c r="P204" s="27"/>
      <c r="Q204" s="27"/>
      <c r="R204" s="70"/>
    </row>
    <row r="205" spans="1:18" ht="17.25" customHeight="1" x14ac:dyDescent="0.2">
      <c r="A205" s="134" t="s">
        <v>82</v>
      </c>
      <c r="B205" s="38" t="s">
        <v>696</v>
      </c>
      <c r="C205" s="38"/>
      <c r="D205" s="39"/>
      <c r="E205" s="39"/>
      <c r="F205" s="38"/>
      <c r="G205" s="14"/>
      <c r="H205" s="70"/>
      <c r="I205" s="71" t="s">
        <v>697</v>
      </c>
      <c r="J205" s="39"/>
      <c r="K205" s="17" t="s">
        <v>782</v>
      </c>
      <c r="L205" s="14"/>
      <c r="M205" s="70"/>
      <c r="N205" s="82" t="s">
        <v>1107</v>
      </c>
      <c r="O205" s="27"/>
      <c r="P205" s="185" t="s">
        <v>1110</v>
      </c>
      <c r="Q205" s="27"/>
      <c r="R205" s="70"/>
    </row>
    <row r="206" spans="1:18" ht="17.25" customHeight="1" x14ac:dyDescent="0.2">
      <c r="A206" s="71" t="s">
        <v>13</v>
      </c>
      <c r="B206" s="38" t="s">
        <v>482</v>
      </c>
      <c r="C206" s="38"/>
      <c r="D206" s="39" t="s">
        <v>486</v>
      </c>
      <c r="E206" s="39" t="s">
        <v>16</v>
      </c>
      <c r="F206" s="14"/>
      <c r="G206" s="14"/>
      <c r="H206" s="133"/>
      <c r="I206" s="71" t="s">
        <v>698</v>
      </c>
      <c r="J206" s="39"/>
      <c r="K206" s="39"/>
      <c r="L206" s="14"/>
      <c r="M206" s="70"/>
      <c r="N206" s="82" t="s">
        <v>1108</v>
      </c>
      <c r="O206" s="27"/>
      <c r="P206" s="27"/>
      <c r="Q206" s="27"/>
      <c r="R206" s="70"/>
    </row>
    <row r="207" spans="1:18" ht="17.25" customHeight="1" x14ac:dyDescent="0.2">
      <c r="A207" s="71" t="s">
        <v>13</v>
      </c>
      <c r="B207" s="38" t="s">
        <v>483</v>
      </c>
      <c r="C207" s="38"/>
      <c r="D207" s="39" t="s">
        <v>921</v>
      </c>
      <c r="E207" s="39" t="s">
        <v>16</v>
      </c>
      <c r="F207" s="39"/>
      <c r="G207" s="14"/>
      <c r="H207" s="133"/>
      <c r="I207" s="71" t="s">
        <v>484</v>
      </c>
      <c r="J207" s="14"/>
      <c r="K207" s="14"/>
      <c r="L207" s="14"/>
      <c r="M207" s="70"/>
      <c r="N207" s="82" t="s">
        <v>1109</v>
      </c>
      <c r="O207" s="27"/>
      <c r="P207" s="27"/>
      <c r="Q207" s="27"/>
      <c r="R207" s="70"/>
    </row>
    <row r="208" spans="1:18" ht="17.25" customHeight="1" x14ac:dyDescent="0.2">
      <c r="A208" s="134" t="s">
        <v>21</v>
      </c>
      <c r="B208" s="38"/>
      <c r="C208" s="38"/>
      <c r="D208" s="14"/>
      <c r="E208" s="39"/>
      <c r="F208" s="38"/>
      <c r="G208" s="14"/>
      <c r="H208" s="133"/>
      <c r="I208" s="71"/>
      <c r="J208" s="14"/>
      <c r="K208" s="14"/>
      <c r="L208" s="14"/>
      <c r="M208" s="70"/>
      <c r="N208" s="71"/>
      <c r="O208" s="27"/>
      <c r="P208" s="27"/>
      <c r="Q208" s="27"/>
      <c r="R208" s="70"/>
    </row>
    <row r="209" spans="1:18" ht="17.25" customHeight="1" x14ac:dyDescent="0.2">
      <c r="A209" s="134" t="s">
        <v>12</v>
      </c>
      <c r="B209" s="39" t="s">
        <v>523</v>
      </c>
      <c r="C209" s="39"/>
      <c r="D209" s="14"/>
      <c r="E209" s="14"/>
      <c r="F209" s="14"/>
      <c r="G209" s="14"/>
      <c r="H209" s="135" t="s">
        <v>73</v>
      </c>
      <c r="I209" s="71"/>
      <c r="J209" s="14"/>
      <c r="K209" s="14"/>
      <c r="L209" s="14"/>
      <c r="M209" s="70"/>
      <c r="N209" s="71"/>
      <c r="O209" s="27"/>
      <c r="P209" s="27"/>
      <c r="Q209" s="27"/>
      <c r="R209" s="70"/>
    </row>
    <row r="210" spans="1:18" ht="17.25" customHeight="1" x14ac:dyDescent="0.2">
      <c r="A210" s="85" t="s">
        <v>885</v>
      </c>
      <c r="B210" s="14" t="s">
        <v>282</v>
      </c>
      <c r="C210" s="14"/>
      <c r="D210" s="14"/>
      <c r="E210" s="39" t="s">
        <v>16</v>
      </c>
      <c r="F210" s="14"/>
      <c r="G210" s="14"/>
      <c r="H210" s="133"/>
      <c r="I210" s="71" t="s">
        <v>916</v>
      </c>
      <c r="J210" s="14"/>
      <c r="K210" s="39"/>
      <c r="L210" s="14"/>
      <c r="M210" s="70"/>
      <c r="N210" s="82" t="s">
        <v>1112</v>
      </c>
      <c r="O210" s="27"/>
      <c r="P210" s="39"/>
      <c r="Q210" s="38"/>
      <c r="R210" s="70"/>
    </row>
    <row r="211" spans="1:18" ht="17.25" customHeight="1" x14ac:dyDescent="0.2">
      <c r="A211" s="71" t="s">
        <v>82</v>
      </c>
      <c r="B211" s="38" t="s">
        <v>412</v>
      </c>
      <c r="C211" s="38"/>
      <c r="D211" s="14"/>
      <c r="E211" s="14"/>
      <c r="F211" s="14"/>
      <c r="G211" s="14"/>
      <c r="H211" s="133"/>
      <c r="I211" s="71" t="s">
        <v>515</v>
      </c>
      <c r="J211" s="14"/>
      <c r="K211" s="14"/>
      <c r="L211" s="14"/>
      <c r="M211" s="70" t="s">
        <v>1198</v>
      </c>
      <c r="N211" s="96" t="s">
        <v>515</v>
      </c>
      <c r="O211" s="27"/>
      <c r="P211" s="27"/>
      <c r="Q211" s="27"/>
      <c r="R211" s="70" t="s">
        <v>1198</v>
      </c>
    </row>
    <row r="212" spans="1:18" ht="17.25" customHeight="1" x14ac:dyDescent="0.2">
      <c r="A212" s="134" t="s">
        <v>21</v>
      </c>
      <c r="B212" s="39"/>
      <c r="C212" s="39"/>
      <c r="D212" s="39"/>
      <c r="E212" s="39"/>
      <c r="F212" s="39"/>
      <c r="G212" s="39"/>
      <c r="H212" s="70"/>
      <c r="I212" s="71"/>
      <c r="J212" s="39"/>
      <c r="K212" s="39"/>
      <c r="L212" s="39"/>
      <c r="M212" s="70"/>
      <c r="N212" s="72"/>
      <c r="O212" s="27"/>
      <c r="P212" s="27"/>
      <c r="Q212" s="27"/>
      <c r="R212" s="70"/>
    </row>
    <row r="213" spans="1:18" ht="17.25" customHeight="1" x14ac:dyDescent="0.2">
      <c r="A213" s="85" t="s">
        <v>13</v>
      </c>
      <c r="B213" s="14" t="s">
        <v>283</v>
      </c>
      <c r="C213" s="14"/>
      <c r="D213" s="39" t="s">
        <v>429</v>
      </c>
      <c r="E213" s="39" t="s">
        <v>16</v>
      </c>
      <c r="F213" s="14" t="s">
        <v>284</v>
      </c>
      <c r="G213" s="14"/>
      <c r="H213" s="133"/>
      <c r="I213" s="71" t="s">
        <v>701</v>
      </c>
      <c r="J213" s="39" t="s">
        <v>404</v>
      </c>
      <c r="K213" s="39" t="s">
        <v>148</v>
      </c>
      <c r="L213" s="14"/>
      <c r="M213" s="70"/>
      <c r="N213" s="82" t="s">
        <v>1111</v>
      </c>
      <c r="O213" s="181" t="s">
        <v>1106</v>
      </c>
      <c r="P213" s="181" t="s">
        <v>1053</v>
      </c>
      <c r="Q213" s="27"/>
      <c r="R213" s="70"/>
    </row>
    <row r="214" spans="1:18" ht="17.25" customHeight="1" x14ac:dyDescent="0.2">
      <c r="A214" s="134" t="s">
        <v>12</v>
      </c>
      <c r="B214" s="38" t="s">
        <v>487</v>
      </c>
      <c r="C214" s="38"/>
      <c r="D214" s="39"/>
      <c r="E214" s="39"/>
      <c r="F214" s="38" t="s">
        <v>431</v>
      </c>
      <c r="G214" s="14"/>
      <c r="H214" s="70" t="s">
        <v>73</v>
      </c>
      <c r="I214" s="71"/>
      <c r="J214" s="39"/>
      <c r="K214" s="39"/>
      <c r="L214" s="14"/>
      <c r="M214" s="70"/>
      <c r="N214" s="71"/>
      <c r="O214" s="27"/>
      <c r="P214" s="27"/>
      <c r="Q214" s="27"/>
      <c r="R214" s="70"/>
    </row>
    <row r="215" spans="1:18" ht="17.25" customHeight="1" x14ac:dyDescent="0.2">
      <c r="A215" s="134" t="s">
        <v>82</v>
      </c>
      <c r="B215" s="38" t="s">
        <v>699</v>
      </c>
      <c r="C215" s="38"/>
      <c r="D215" s="39"/>
      <c r="E215" s="39"/>
      <c r="F215" s="38"/>
      <c r="G215" s="14"/>
      <c r="H215" s="70"/>
      <c r="I215" s="71" t="s">
        <v>700</v>
      </c>
      <c r="J215" s="39"/>
      <c r="K215" s="17" t="s">
        <v>782</v>
      </c>
      <c r="L215" s="14"/>
      <c r="M215" s="70"/>
      <c r="N215" s="82" t="s">
        <v>1113</v>
      </c>
      <c r="O215" s="27"/>
      <c r="P215" s="185" t="s">
        <v>1110</v>
      </c>
      <c r="Q215" s="27"/>
      <c r="R215" s="70"/>
    </row>
    <row r="216" spans="1:18" ht="17.25" customHeight="1" x14ac:dyDescent="0.2">
      <c r="A216" s="71" t="s">
        <v>13</v>
      </c>
      <c r="B216" s="38" t="s">
        <v>488</v>
      </c>
      <c r="C216" s="38"/>
      <c r="D216" s="39" t="s">
        <v>486</v>
      </c>
      <c r="E216" s="39" t="s">
        <v>16</v>
      </c>
      <c r="F216" s="14"/>
      <c r="G216" s="14"/>
      <c r="H216" s="133"/>
      <c r="I216" s="71" t="s">
        <v>698</v>
      </c>
      <c r="J216" s="39"/>
      <c r="K216" s="39"/>
      <c r="L216" s="14"/>
      <c r="M216" s="70"/>
      <c r="N216" s="82" t="s">
        <v>1108</v>
      </c>
      <c r="O216" s="27"/>
      <c r="P216" s="27"/>
      <c r="Q216" s="27"/>
      <c r="R216" s="70"/>
    </row>
    <row r="217" spans="1:18" ht="17.25" customHeight="1" x14ac:dyDescent="0.2">
      <c r="A217" s="71" t="s">
        <v>13</v>
      </c>
      <c r="B217" s="38" t="s">
        <v>489</v>
      </c>
      <c r="C217" s="38"/>
      <c r="D217" s="17" t="s">
        <v>922</v>
      </c>
      <c r="E217" s="39" t="s">
        <v>16</v>
      </c>
      <c r="F217" s="39"/>
      <c r="G217" s="14"/>
      <c r="H217" s="133"/>
      <c r="I217" s="71" t="s">
        <v>484</v>
      </c>
      <c r="J217" s="14"/>
      <c r="K217" s="14"/>
      <c r="L217" s="14"/>
      <c r="M217" s="70"/>
      <c r="N217" s="82" t="s">
        <v>1109</v>
      </c>
      <c r="O217" s="27"/>
      <c r="P217" s="27"/>
      <c r="Q217" s="27"/>
      <c r="R217" s="70"/>
    </row>
    <row r="218" spans="1:18" ht="17.25" customHeight="1" x14ac:dyDescent="0.2">
      <c r="A218" s="134" t="s">
        <v>21</v>
      </c>
      <c r="B218" s="38"/>
      <c r="C218" s="38"/>
      <c r="D218" s="14"/>
      <c r="E218" s="39"/>
      <c r="F218" s="38"/>
      <c r="G218" s="14"/>
      <c r="H218" s="133"/>
      <c r="I218" s="71"/>
      <c r="J218" s="14"/>
      <c r="K218" s="14"/>
      <c r="L218" s="14"/>
      <c r="M218" s="70"/>
      <c r="N218" s="71"/>
      <c r="O218" s="27"/>
      <c r="P218" s="27"/>
      <c r="Q218" s="27"/>
      <c r="R218" s="70"/>
    </row>
    <row r="219" spans="1:18" ht="17.25" customHeight="1" x14ac:dyDescent="0.2">
      <c r="A219" s="85" t="s">
        <v>82</v>
      </c>
      <c r="B219" s="14" t="s">
        <v>285</v>
      </c>
      <c r="C219" s="14"/>
      <c r="D219" s="14"/>
      <c r="E219" s="39"/>
      <c r="F219" s="14"/>
      <c r="G219" s="14"/>
      <c r="H219" s="133"/>
      <c r="I219" s="71" t="s">
        <v>286</v>
      </c>
      <c r="J219" s="14"/>
      <c r="K219" s="14"/>
      <c r="L219" s="14"/>
      <c r="M219" s="70"/>
      <c r="N219" s="170" t="s">
        <v>1114</v>
      </c>
      <c r="O219" s="27"/>
      <c r="P219" s="27"/>
      <c r="Q219" s="27"/>
      <c r="R219" s="70"/>
    </row>
    <row r="220" spans="1:18" ht="17.25" customHeight="1" x14ac:dyDescent="0.2">
      <c r="A220" s="85" t="s">
        <v>885</v>
      </c>
      <c r="B220" s="14" t="s">
        <v>287</v>
      </c>
      <c r="C220" s="14"/>
      <c r="D220" s="14"/>
      <c r="E220" s="39" t="s">
        <v>16</v>
      </c>
      <c r="F220" s="14"/>
      <c r="G220" s="14"/>
      <c r="H220" s="133"/>
      <c r="I220" s="71" t="s">
        <v>917</v>
      </c>
      <c r="J220" s="14"/>
      <c r="K220" s="14"/>
      <c r="L220" s="14"/>
      <c r="M220" s="70"/>
      <c r="N220" s="82" t="s">
        <v>1115</v>
      </c>
      <c r="O220" s="27"/>
      <c r="P220" s="27"/>
      <c r="Q220" s="27"/>
      <c r="R220" s="70"/>
    </row>
    <row r="221" spans="1:18" ht="17.25" customHeight="1" x14ac:dyDescent="0.2">
      <c r="A221" s="85" t="s">
        <v>13</v>
      </c>
      <c r="B221" s="14" t="s">
        <v>288</v>
      </c>
      <c r="C221" s="14"/>
      <c r="D221" s="39" t="s">
        <v>429</v>
      </c>
      <c r="E221" s="39" t="s">
        <v>16</v>
      </c>
      <c r="F221" s="14" t="s">
        <v>289</v>
      </c>
      <c r="G221" s="14"/>
      <c r="H221" s="133"/>
      <c r="I221" s="71" t="s">
        <v>918</v>
      </c>
      <c r="J221" s="39" t="s">
        <v>404</v>
      </c>
      <c r="K221" s="39" t="s">
        <v>148</v>
      </c>
      <c r="L221" s="14"/>
      <c r="M221" s="70"/>
      <c r="N221" s="82" t="s">
        <v>1116</v>
      </c>
      <c r="O221" s="181" t="s">
        <v>1106</v>
      </c>
      <c r="P221" s="181" t="s">
        <v>1053</v>
      </c>
      <c r="Q221" s="27"/>
      <c r="R221" s="70"/>
    </row>
    <row r="222" spans="1:18" ht="17.25" customHeight="1" x14ac:dyDescent="0.2">
      <c r="A222" s="134" t="s">
        <v>12</v>
      </c>
      <c r="B222" s="38" t="s">
        <v>490</v>
      </c>
      <c r="C222" s="38"/>
      <c r="D222" s="39"/>
      <c r="E222" s="39"/>
      <c r="F222" s="38" t="s">
        <v>432</v>
      </c>
      <c r="G222" s="14"/>
      <c r="H222" s="70" t="s">
        <v>73</v>
      </c>
      <c r="I222" s="71"/>
      <c r="J222" s="39"/>
      <c r="K222" s="39"/>
      <c r="L222" s="14"/>
      <c r="M222" s="70"/>
      <c r="N222" s="71"/>
      <c r="O222" s="27"/>
      <c r="P222" s="27"/>
      <c r="Q222" s="27"/>
      <c r="R222" s="70"/>
    </row>
    <row r="223" spans="1:18" ht="17.25" customHeight="1" x14ac:dyDescent="0.2">
      <c r="A223" s="134" t="s">
        <v>82</v>
      </c>
      <c r="B223" s="38" t="s">
        <v>702</v>
      </c>
      <c r="C223" s="38"/>
      <c r="D223" s="39"/>
      <c r="E223" s="39"/>
      <c r="F223" s="38"/>
      <c r="G223" s="14"/>
      <c r="H223" s="70"/>
      <c r="I223" s="71" t="s">
        <v>703</v>
      </c>
      <c r="J223" s="39"/>
      <c r="K223" s="17" t="s">
        <v>782</v>
      </c>
      <c r="L223" s="14"/>
      <c r="M223" s="70"/>
      <c r="N223" s="82" t="s">
        <v>1117</v>
      </c>
      <c r="O223" s="27"/>
      <c r="P223" s="185" t="s">
        <v>1110</v>
      </c>
      <c r="Q223" s="27"/>
      <c r="R223" s="70"/>
    </row>
    <row r="224" spans="1:18" ht="17.25" customHeight="1" x14ac:dyDescent="0.2">
      <c r="A224" s="71" t="s">
        <v>13</v>
      </c>
      <c r="B224" s="38" t="s">
        <v>491</v>
      </c>
      <c r="C224" s="38"/>
      <c r="D224" s="39" t="s">
        <v>486</v>
      </c>
      <c r="E224" s="39" t="s">
        <v>16</v>
      </c>
      <c r="F224" s="14"/>
      <c r="G224" s="14"/>
      <c r="H224" s="133"/>
      <c r="I224" s="71" t="s">
        <v>698</v>
      </c>
      <c r="J224" s="39"/>
      <c r="K224" s="39"/>
      <c r="L224" s="14"/>
      <c r="M224" s="70"/>
      <c r="N224" s="82" t="s">
        <v>1108</v>
      </c>
      <c r="O224" s="27"/>
      <c r="P224" s="27"/>
      <c r="Q224" s="27"/>
      <c r="R224" s="70"/>
    </row>
    <row r="225" spans="1:18" ht="17.25" customHeight="1" x14ac:dyDescent="0.2">
      <c r="A225" s="71" t="s">
        <v>13</v>
      </c>
      <c r="B225" s="38" t="s">
        <v>492</v>
      </c>
      <c r="C225" s="38"/>
      <c r="D225" s="39" t="s">
        <v>923</v>
      </c>
      <c r="E225" s="39" t="s">
        <v>16</v>
      </c>
      <c r="F225" s="39"/>
      <c r="G225" s="14"/>
      <c r="H225" s="133"/>
      <c r="I225" s="71" t="s">
        <v>484</v>
      </c>
      <c r="J225" s="14"/>
      <c r="K225" s="14"/>
      <c r="L225" s="14"/>
      <c r="M225" s="70"/>
      <c r="N225" s="82" t="s">
        <v>1109</v>
      </c>
      <c r="O225" s="27"/>
      <c r="P225" s="27"/>
      <c r="Q225" s="27"/>
      <c r="R225" s="70"/>
    </row>
    <row r="226" spans="1:18" ht="17.25" customHeight="1" x14ac:dyDescent="0.2">
      <c r="A226" s="134" t="s">
        <v>21</v>
      </c>
      <c r="B226" s="38"/>
      <c r="C226" s="38"/>
      <c r="D226" s="14"/>
      <c r="E226" s="39"/>
      <c r="F226" s="38"/>
      <c r="G226" s="14"/>
      <c r="H226" s="133"/>
      <c r="I226" s="71"/>
      <c r="J226" s="14"/>
      <c r="K226" s="14"/>
      <c r="L226" s="14"/>
      <c r="M226" s="70"/>
      <c r="N226" s="71"/>
      <c r="O226" s="27"/>
      <c r="P226" s="27"/>
      <c r="Q226" s="27"/>
      <c r="R226" s="70"/>
    </row>
    <row r="227" spans="1:18" ht="17.25" customHeight="1" x14ac:dyDescent="0.2">
      <c r="A227" s="85" t="s">
        <v>82</v>
      </c>
      <c r="B227" s="14" t="s">
        <v>290</v>
      </c>
      <c r="C227" s="14"/>
      <c r="D227" s="14"/>
      <c r="E227" s="14"/>
      <c r="F227" s="14"/>
      <c r="G227" s="14"/>
      <c r="H227" s="133"/>
      <c r="I227" s="71" t="s">
        <v>291</v>
      </c>
      <c r="J227" s="14"/>
      <c r="K227" s="14"/>
      <c r="L227" s="14"/>
      <c r="M227" s="70"/>
      <c r="N227" s="82" t="s">
        <v>1191</v>
      </c>
      <c r="O227" s="27"/>
      <c r="P227" s="27"/>
      <c r="Q227" s="27"/>
      <c r="R227" s="70"/>
    </row>
    <row r="228" spans="1:18" ht="17.25" customHeight="1" x14ac:dyDescent="0.2">
      <c r="A228" s="134" t="s">
        <v>12</v>
      </c>
      <c r="B228" s="39" t="s">
        <v>524</v>
      </c>
      <c r="C228" s="39"/>
      <c r="D228" s="14"/>
      <c r="E228" s="14"/>
      <c r="F228" s="14"/>
      <c r="G228" s="14"/>
      <c r="H228" s="135" t="s">
        <v>73</v>
      </c>
      <c r="I228" s="71"/>
      <c r="J228" s="14"/>
      <c r="K228" s="14"/>
      <c r="L228" s="14"/>
      <c r="M228" s="70"/>
      <c r="N228" s="71"/>
      <c r="O228" s="27"/>
      <c r="P228" s="27"/>
      <c r="Q228" s="27"/>
      <c r="R228" s="70"/>
    </row>
    <row r="229" spans="1:18" ht="17.25" customHeight="1" x14ac:dyDescent="0.2">
      <c r="A229" s="85" t="s">
        <v>885</v>
      </c>
      <c r="B229" s="14" t="s">
        <v>292</v>
      </c>
      <c r="C229" s="14"/>
      <c r="D229" s="14"/>
      <c r="E229" s="39" t="s">
        <v>16</v>
      </c>
      <c r="F229" s="14"/>
      <c r="G229" s="14"/>
      <c r="H229" s="133"/>
      <c r="I229" s="71" t="s">
        <v>919</v>
      </c>
      <c r="J229" s="14"/>
      <c r="K229" s="39"/>
      <c r="L229" s="14"/>
      <c r="M229" s="70"/>
      <c r="N229" s="82" t="s">
        <v>1118</v>
      </c>
      <c r="O229" s="27"/>
      <c r="P229" s="39"/>
      <c r="Q229" s="38"/>
      <c r="R229" s="70"/>
    </row>
    <row r="230" spans="1:18" ht="17.25" customHeight="1" x14ac:dyDescent="0.2">
      <c r="A230" s="71" t="s">
        <v>82</v>
      </c>
      <c r="B230" s="38" t="s">
        <v>413</v>
      </c>
      <c r="C230" s="38"/>
      <c r="D230" s="14"/>
      <c r="E230" s="14"/>
      <c r="F230" s="14"/>
      <c r="G230" s="14"/>
      <c r="H230" s="133"/>
      <c r="I230" s="71" t="s">
        <v>513</v>
      </c>
      <c r="J230" s="14"/>
      <c r="K230" s="14"/>
      <c r="L230" s="14"/>
      <c r="M230" s="70" t="s">
        <v>1199</v>
      </c>
      <c r="N230" s="96" t="s">
        <v>513</v>
      </c>
      <c r="O230" s="27"/>
      <c r="P230" s="27"/>
      <c r="Q230" s="27"/>
      <c r="R230" s="70" t="s">
        <v>1199</v>
      </c>
    </row>
    <row r="231" spans="1:18" ht="17.25" customHeight="1" x14ac:dyDescent="0.2">
      <c r="A231" s="134" t="s">
        <v>21</v>
      </c>
      <c r="B231" s="38"/>
      <c r="C231" s="38"/>
      <c r="D231" s="14"/>
      <c r="E231" s="14"/>
      <c r="F231" s="14"/>
      <c r="G231" s="14"/>
      <c r="H231" s="133"/>
      <c r="I231" s="71"/>
      <c r="J231" s="14"/>
      <c r="K231" s="14"/>
      <c r="L231" s="14"/>
      <c r="M231" s="70"/>
      <c r="N231" s="71"/>
      <c r="O231" s="27"/>
      <c r="P231" s="27"/>
      <c r="Q231" s="27"/>
      <c r="R231" s="70"/>
    </row>
    <row r="232" spans="1:18" ht="17.25" customHeight="1" x14ac:dyDescent="0.2">
      <c r="A232" s="85" t="s">
        <v>13</v>
      </c>
      <c r="B232" s="14" t="s">
        <v>293</v>
      </c>
      <c r="C232" s="14"/>
      <c r="D232" s="39" t="s">
        <v>429</v>
      </c>
      <c r="E232" s="39" t="s">
        <v>16</v>
      </c>
      <c r="F232" s="14" t="s">
        <v>294</v>
      </c>
      <c r="G232" s="14"/>
      <c r="H232" s="133"/>
      <c r="I232" s="71" t="s">
        <v>704</v>
      </c>
      <c r="J232" s="39" t="s">
        <v>404</v>
      </c>
      <c r="K232" s="39" t="s">
        <v>148</v>
      </c>
      <c r="L232" s="14"/>
      <c r="M232" s="70"/>
      <c r="N232" s="82" t="s">
        <v>1119</v>
      </c>
      <c r="O232" s="181" t="s">
        <v>1106</v>
      </c>
      <c r="P232" s="181" t="s">
        <v>1053</v>
      </c>
      <c r="Q232" s="27"/>
      <c r="R232" s="70"/>
    </row>
    <row r="233" spans="1:18" ht="17.25" customHeight="1" x14ac:dyDescent="0.2">
      <c r="A233" s="134" t="s">
        <v>12</v>
      </c>
      <c r="B233" s="38" t="s">
        <v>493</v>
      </c>
      <c r="C233" s="38"/>
      <c r="D233" s="39"/>
      <c r="E233" s="39"/>
      <c r="F233" s="38" t="s">
        <v>433</v>
      </c>
      <c r="G233" s="14"/>
      <c r="H233" s="70" t="s">
        <v>73</v>
      </c>
      <c r="I233" s="71"/>
      <c r="J233" s="39"/>
      <c r="K233" s="39"/>
      <c r="L233" s="14"/>
      <c r="M233" s="70"/>
      <c r="N233" s="71"/>
      <c r="O233" s="27"/>
      <c r="P233" s="27"/>
      <c r="Q233" s="27"/>
      <c r="R233" s="70"/>
    </row>
    <row r="234" spans="1:18" ht="17.25" customHeight="1" x14ac:dyDescent="0.2">
      <c r="A234" s="134" t="s">
        <v>82</v>
      </c>
      <c r="B234" s="38" t="s">
        <v>708</v>
      </c>
      <c r="C234" s="38"/>
      <c r="D234" s="39"/>
      <c r="E234" s="39"/>
      <c r="F234" s="38"/>
      <c r="G234" s="14"/>
      <c r="H234" s="70"/>
      <c r="I234" s="71" t="s">
        <v>706</v>
      </c>
      <c r="J234" s="39"/>
      <c r="K234" s="17" t="s">
        <v>782</v>
      </c>
      <c r="L234" s="14"/>
      <c r="M234" s="70"/>
      <c r="N234" s="82" t="s">
        <v>1120</v>
      </c>
      <c r="O234" s="27"/>
      <c r="P234" s="185" t="s">
        <v>1110</v>
      </c>
      <c r="Q234" s="27"/>
      <c r="R234" s="70"/>
    </row>
    <row r="235" spans="1:18" ht="17.25" customHeight="1" x14ac:dyDescent="0.2">
      <c r="A235" s="71" t="s">
        <v>13</v>
      </c>
      <c r="B235" s="38" t="s">
        <v>494</v>
      </c>
      <c r="C235" s="38"/>
      <c r="D235" s="39" t="s">
        <v>486</v>
      </c>
      <c r="E235" s="39" t="s">
        <v>16</v>
      </c>
      <c r="F235" s="14"/>
      <c r="G235" s="14"/>
      <c r="H235" s="133"/>
      <c r="I235" s="71" t="s">
        <v>698</v>
      </c>
      <c r="J235" s="39"/>
      <c r="K235" s="39"/>
      <c r="L235" s="14"/>
      <c r="M235" s="70"/>
      <c r="N235" s="82" t="s">
        <v>1108</v>
      </c>
      <c r="O235" s="27"/>
      <c r="P235" s="27"/>
      <c r="Q235" s="27"/>
      <c r="R235" s="70"/>
    </row>
    <row r="236" spans="1:18" ht="17.25" customHeight="1" x14ac:dyDescent="0.2">
      <c r="A236" s="71" t="s">
        <v>13</v>
      </c>
      <c r="B236" s="38" t="s">
        <v>495</v>
      </c>
      <c r="C236" s="38"/>
      <c r="D236" s="38" t="s">
        <v>924</v>
      </c>
      <c r="E236" s="39" t="s">
        <v>16</v>
      </c>
      <c r="F236" s="39"/>
      <c r="G236" s="14"/>
      <c r="H236" s="133"/>
      <c r="I236" s="71" t="s">
        <v>484</v>
      </c>
      <c r="J236" s="14"/>
      <c r="K236" s="14"/>
      <c r="L236" s="14"/>
      <c r="M236" s="70"/>
      <c r="N236" s="82" t="s">
        <v>1109</v>
      </c>
      <c r="O236" s="27"/>
      <c r="P236" s="27"/>
      <c r="Q236" s="27"/>
      <c r="R236" s="70"/>
    </row>
    <row r="237" spans="1:18" ht="17.25" customHeight="1" x14ac:dyDescent="0.2">
      <c r="A237" s="134" t="s">
        <v>21</v>
      </c>
      <c r="B237" s="38"/>
      <c r="C237" s="38"/>
      <c r="D237" s="14"/>
      <c r="E237" s="39"/>
      <c r="F237" s="38"/>
      <c r="G237" s="14"/>
      <c r="H237" s="133"/>
      <c r="I237" s="71"/>
      <c r="J237" s="14"/>
      <c r="K237" s="14"/>
      <c r="L237" s="14"/>
      <c r="M237" s="70"/>
      <c r="N237" s="71"/>
      <c r="O237" s="27"/>
      <c r="P237" s="27"/>
      <c r="Q237" s="27"/>
      <c r="R237" s="70"/>
    </row>
    <row r="238" spans="1:18" ht="17.25" customHeight="1" x14ac:dyDescent="0.2">
      <c r="A238" s="134" t="s">
        <v>12</v>
      </c>
      <c r="B238" s="39" t="s">
        <v>525</v>
      </c>
      <c r="C238" s="39"/>
      <c r="D238" s="14"/>
      <c r="E238" s="14"/>
      <c r="F238" s="14"/>
      <c r="G238" s="14"/>
      <c r="H238" s="135" t="s">
        <v>73</v>
      </c>
      <c r="I238" s="71"/>
      <c r="J238" s="14"/>
      <c r="K238" s="14"/>
      <c r="L238" s="14"/>
      <c r="M238" s="70"/>
      <c r="N238" s="71"/>
      <c r="O238" s="27"/>
      <c r="P238" s="27"/>
      <c r="Q238" s="27"/>
      <c r="R238" s="70"/>
    </row>
    <row r="239" spans="1:18" ht="17.25" customHeight="1" x14ac:dyDescent="0.2">
      <c r="A239" s="85" t="s">
        <v>885</v>
      </c>
      <c r="B239" s="14" t="s">
        <v>295</v>
      </c>
      <c r="C239" s="14"/>
      <c r="D239" s="14"/>
      <c r="E239" s="39" t="s">
        <v>16</v>
      </c>
      <c r="F239" s="14"/>
      <c r="G239" s="14"/>
      <c r="H239" s="133"/>
      <c r="I239" s="71" t="s">
        <v>920</v>
      </c>
      <c r="J239" s="14"/>
      <c r="K239" s="39"/>
      <c r="L239" s="14"/>
      <c r="M239" s="70"/>
      <c r="N239" s="82" t="s">
        <v>1121</v>
      </c>
      <c r="O239" s="27"/>
      <c r="P239" s="39"/>
      <c r="Q239" s="38"/>
      <c r="R239" s="70"/>
    </row>
    <row r="240" spans="1:18" ht="17.25" customHeight="1" x14ac:dyDescent="0.2">
      <c r="A240" s="71" t="s">
        <v>82</v>
      </c>
      <c r="B240" s="38" t="s">
        <v>414</v>
      </c>
      <c r="C240" s="38"/>
      <c r="D240" s="14"/>
      <c r="E240" s="14"/>
      <c r="F240" s="14"/>
      <c r="G240" s="14"/>
      <c r="H240" s="133"/>
      <c r="I240" s="71" t="s">
        <v>514</v>
      </c>
      <c r="J240" s="14"/>
      <c r="K240" s="14"/>
      <c r="L240" s="14"/>
      <c r="M240" s="70" t="s">
        <v>1200</v>
      </c>
      <c r="N240" s="96" t="s">
        <v>514</v>
      </c>
      <c r="O240" s="27"/>
      <c r="P240" s="27"/>
      <c r="Q240" s="27"/>
      <c r="R240" s="70" t="s">
        <v>1200</v>
      </c>
    </row>
    <row r="241" spans="1:18" ht="17.25" customHeight="1" x14ac:dyDescent="0.2">
      <c r="A241" s="134" t="s">
        <v>21</v>
      </c>
      <c r="B241" s="39"/>
      <c r="C241" s="39"/>
      <c r="D241" s="39"/>
      <c r="E241" s="39"/>
      <c r="F241" s="39"/>
      <c r="G241" s="39"/>
      <c r="H241" s="70"/>
      <c r="I241" s="71"/>
      <c r="J241" s="39"/>
      <c r="K241" s="39"/>
      <c r="L241" s="39"/>
      <c r="M241" s="70"/>
      <c r="N241" s="72"/>
      <c r="O241" s="27"/>
      <c r="P241" s="27"/>
      <c r="Q241" s="27"/>
      <c r="R241" s="70"/>
    </row>
    <row r="242" spans="1:18" ht="17.25" customHeight="1" x14ac:dyDescent="0.2">
      <c r="A242" s="85" t="s">
        <v>13</v>
      </c>
      <c r="B242" s="14" t="s">
        <v>296</v>
      </c>
      <c r="C242" s="14"/>
      <c r="D242" s="39" t="s">
        <v>429</v>
      </c>
      <c r="E242" s="39" t="s">
        <v>16</v>
      </c>
      <c r="F242" s="14" t="s">
        <v>297</v>
      </c>
      <c r="G242" s="14"/>
      <c r="H242" s="133"/>
      <c r="I242" s="71" t="s">
        <v>705</v>
      </c>
      <c r="J242" s="39" t="s">
        <v>404</v>
      </c>
      <c r="K242" s="39" t="s">
        <v>148</v>
      </c>
      <c r="L242" s="14"/>
      <c r="M242" s="70"/>
      <c r="N242" s="82" t="s">
        <v>1122</v>
      </c>
      <c r="O242" s="181" t="s">
        <v>1106</v>
      </c>
      <c r="P242" s="181" t="s">
        <v>1053</v>
      </c>
      <c r="Q242" s="27"/>
      <c r="R242" s="70"/>
    </row>
    <row r="243" spans="1:18" ht="17.25" customHeight="1" x14ac:dyDescent="0.2">
      <c r="A243" s="134" t="s">
        <v>12</v>
      </c>
      <c r="B243" s="38" t="s">
        <v>496</v>
      </c>
      <c r="C243" s="38"/>
      <c r="D243" s="39"/>
      <c r="E243" s="39"/>
      <c r="F243" s="38" t="s">
        <v>434</v>
      </c>
      <c r="G243" s="14"/>
      <c r="H243" s="70" t="s">
        <v>73</v>
      </c>
      <c r="I243" s="71"/>
      <c r="J243" s="39"/>
      <c r="K243" s="39"/>
      <c r="L243" s="14"/>
      <c r="M243" s="70"/>
      <c r="N243" s="71"/>
      <c r="O243" s="27"/>
      <c r="P243" s="27"/>
      <c r="Q243" s="27"/>
      <c r="R243" s="70"/>
    </row>
    <row r="244" spans="1:18" ht="17.25" customHeight="1" x14ac:dyDescent="0.2">
      <c r="A244" s="134" t="s">
        <v>82</v>
      </c>
      <c r="B244" s="38" t="s">
        <v>707</v>
      </c>
      <c r="C244" s="38"/>
      <c r="D244" s="39"/>
      <c r="E244" s="39"/>
      <c r="F244" s="38"/>
      <c r="G244" s="14"/>
      <c r="H244" s="70"/>
      <c r="I244" s="71" t="s">
        <v>709</v>
      </c>
      <c r="J244" s="39"/>
      <c r="K244" s="17" t="s">
        <v>782</v>
      </c>
      <c r="L244" s="14"/>
      <c r="M244" s="70"/>
      <c r="N244" s="82" t="s">
        <v>1123</v>
      </c>
      <c r="O244" s="27"/>
      <c r="P244" s="185" t="s">
        <v>1110</v>
      </c>
      <c r="Q244" s="27"/>
      <c r="R244" s="70"/>
    </row>
    <row r="245" spans="1:18" ht="17.25" customHeight="1" x14ac:dyDescent="0.2">
      <c r="A245" s="71" t="s">
        <v>13</v>
      </c>
      <c r="B245" s="38" t="s">
        <v>497</v>
      </c>
      <c r="C245" s="38"/>
      <c r="D245" s="39" t="s">
        <v>486</v>
      </c>
      <c r="E245" s="39" t="s">
        <v>16</v>
      </c>
      <c r="F245" s="14"/>
      <c r="G245" s="14"/>
      <c r="H245" s="133"/>
      <c r="I245" s="71" t="s">
        <v>698</v>
      </c>
      <c r="J245" s="39"/>
      <c r="K245" s="39"/>
      <c r="L245" s="14"/>
      <c r="M245" s="70"/>
      <c r="N245" s="82" t="s">
        <v>1108</v>
      </c>
      <c r="O245" s="27"/>
      <c r="P245" s="27"/>
      <c r="Q245" s="27"/>
      <c r="R245" s="70"/>
    </row>
    <row r="246" spans="1:18" ht="17.25" customHeight="1" x14ac:dyDescent="0.2">
      <c r="A246" s="71" t="s">
        <v>13</v>
      </c>
      <c r="B246" s="38" t="s">
        <v>498</v>
      </c>
      <c r="C246" s="38"/>
      <c r="D246" s="38" t="s">
        <v>925</v>
      </c>
      <c r="E246" s="39" t="s">
        <v>16</v>
      </c>
      <c r="F246" s="39"/>
      <c r="G246" s="14"/>
      <c r="H246" s="133"/>
      <c r="I246" s="71" t="s">
        <v>484</v>
      </c>
      <c r="J246" s="14"/>
      <c r="K246" s="14"/>
      <c r="L246" s="14"/>
      <c r="M246" s="70"/>
      <c r="N246" s="82" t="s">
        <v>1109</v>
      </c>
      <c r="O246" s="27"/>
      <c r="P246" s="27"/>
      <c r="Q246" s="27"/>
      <c r="R246" s="70"/>
    </row>
    <row r="247" spans="1:18" ht="17.25" customHeight="1" x14ac:dyDescent="0.2">
      <c r="A247" s="134" t="s">
        <v>21</v>
      </c>
      <c r="B247" s="38"/>
      <c r="C247" s="38"/>
      <c r="D247" s="14"/>
      <c r="E247" s="39"/>
      <c r="F247" s="38"/>
      <c r="G247" s="14"/>
      <c r="H247" s="133"/>
      <c r="I247" s="71"/>
      <c r="J247" s="14"/>
      <c r="K247" s="14"/>
      <c r="L247" s="14"/>
      <c r="M247" s="70"/>
      <c r="N247" s="71"/>
      <c r="O247" s="27"/>
      <c r="P247" s="27"/>
      <c r="Q247" s="27"/>
      <c r="R247" s="70"/>
    </row>
    <row r="248" spans="1:18" ht="17.25" customHeight="1" x14ac:dyDescent="0.2">
      <c r="A248" s="85" t="s">
        <v>82</v>
      </c>
      <c r="B248" s="14" t="s">
        <v>298</v>
      </c>
      <c r="C248" s="14"/>
      <c r="D248" s="14"/>
      <c r="E248" s="14"/>
      <c r="F248" s="14"/>
      <c r="G248" s="14"/>
      <c r="H248" s="133"/>
      <c r="I248" s="71" t="s">
        <v>299</v>
      </c>
      <c r="J248" s="14"/>
      <c r="K248" s="14"/>
      <c r="L248" s="14"/>
      <c r="M248" s="70"/>
      <c r="N248" s="82" t="s">
        <v>1124</v>
      </c>
      <c r="O248" s="27"/>
      <c r="P248" s="27"/>
      <c r="Q248" s="27"/>
      <c r="R248" s="70"/>
    </row>
    <row r="249" spans="1:18" ht="17.25" customHeight="1" x14ac:dyDescent="0.2">
      <c r="A249" s="134" t="s">
        <v>12</v>
      </c>
      <c r="B249" s="38" t="s">
        <v>499</v>
      </c>
      <c r="C249" s="38"/>
      <c r="D249" s="39"/>
      <c r="E249" s="39"/>
      <c r="F249" s="38"/>
      <c r="G249" s="14"/>
      <c r="H249" s="70" t="s">
        <v>73</v>
      </c>
      <c r="I249" s="71"/>
      <c r="J249" s="39"/>
      <c r="K249" s="39"/>
      <c r="L249" s="14"/>
      <c r="M249" s="70"/>
      <c r="N249" s="71"/>
      <c r="O249" s="27"/>
      <c r="P249" s="27"/>
      <c r="Q249" s="27"/>
      <c r="R249" s="70"/>
    </row>
    <row r="250" spans="1:18" ht="17.25" customHeight="1" x14ac:dyDescent="0.2">
      <c r="A250" s="134" t="s">
        <v>82</v>
      </c>
      <c r="B250" s="38" t="s">
        <v>711</v>
      </c>
      <c r="C250" s="38"/>
      <c r="D250" s="39"/>
      <c r="E250" s="39"/>
      <c r="F250" s="38"/>
      <c r="G250" s="14"/>
      <c r="H250" s="70"/>
      <c r="I250" s="71" t="s">
        <v>710</v>
      </c>
      <c r="J250" s="39"/>
      <c r="K250" s="17" t="s">
        <v>782</v>
      </c>
      <c r="L250" s="14"/>
      <c r="M250" s="70"/>
      <c r="N250" s="82" t="s">
        <v>1125</v>
      </c>
      <c r="O250" s="27"/>
      <c r="P250" s="185" t="s">
        <v>1110</v>
      </c>
      <c r="Q250" s="27"/>
      <c r="R250" s="70"/>
    </row>
    <row r="251" spans="1:18" ht="17.25" customHeight="1" x14ac:dyDescent="0.2">
      <c r="A251" s="71" t="s">
        <v>13</v>
      </c>
      <c r="B251" s="38" t="s">
        <v>500</v>
      </c>
      <c r="C251" s="38"/>
      <c r="D251" s="39" t="s">
        <v>486</v>
      </c>
      <c r="E251" s="39" t="s">
        <v>16</v>
      </c>
      <c r="F251" s="14"/>
      <c r="G251" s="14"/>
      <c r="H251" s="133"/>
      <c r="I251" s="71" t="s">
        <v>698</v>
      </c>
      <c r="J251" s="39"/>
      <c r="K251" s="39"/>
      <c r="L251" s="14"/>
      <c r="M251" s="70"/>
      <c r="N251" s="82" t="s">
        <v>1108</v>
      </c>
      <c r="O251" s="27"/>
      <c r="P251" s="27"/>
      <c r="Q251" s="27"/>
      <c r="R251" s="70"/>
    </row>
    <row r="252" spans="1:18" ht="17.25" customHeight="1" x14ac:dyDescent="0.2">
      <c r="A252" s="71" t="s">
        <v>13</v>
      </c>
      <c r="B252" s="38" t="s">
        <v>501</v>
      </c>
      <c r="C252" s="38"/>
      <c r="D252" s="38" t="s">
        <v>506</v>
      </c>
      <c r="E252" s="39" t="s">
        <v>16</v>
      </c>
      <c r="F252" s="39"/>
      <c r="G252" s="14"/>
      <c r="H252" s="133"/>
      <c r="I252" s="71" t="s">
        <v>484</v>
      </c>
      <c r="J252" s="14"/>
      <c r="K252" s="14"/>
      <c r="L252" s="14"/>
      <c r="M252" s="70"/>
      <c r="N252" s="82" t="s">
        <v>1109</v>
      </c>
      <c r="O252" s="27"/>
      <c r="P252" s="27"/>
      <c r="Q252" s="27"/>
      <c r="R252" s="70"/>
    </row>
    <row r="253" spans="1:18" ht="17.25" customHeight="1" x14ac:dyDescent="0.2">
      <c r="A253" s="134" t="s">
        <v>21</v>
      </c>
      <c r="B253" s="38"/>
      <c r="C253" s="38"/>
      <c r="D253" s="14"/>
      <c r="E253" s="39"/>
      <c r="F253" s="38"/>
      <c r="G253" s="14"/>
      <c r="H253" s="133"/>
      <c r="I253" s="71"/>
      <c r="J253" s="14"/>
      <c r="K253" s="14"/>
      <c r="L253" s="14"/>
      <c r="M253" s="70"/>
      <c r="N253" s="71"/>
      <c r="O253" s="27"/>
      <c r="P253" s="27"/>
      <c r="Q253" s="27"/>
      <c r="R253" s="70"/>
    </row>
    <row r="254" spans="1:18" ht="17.25" customHeight="1" x14ac:dyDescent="0.2">
      <c r="A254" s="132" t="s">
        <v>21</v>
      </c>
      <c r="B254" s="14"/>
      <c r="C254" s="14"/>
      <c r="D254" s="14"/>
      <c r="E254" s="14"/>
      <c r="F254" s="14"/>
      <c r="G254" s="14"/>
      <c r="H254" s="133"/>
      <c r="I254" s="71"/>
      <c r="J254" s="14"/>
      <c r="K254" s="14"/>
      <c r="L254" s="14"/>
      <c r="M254" s="70"/>
      <c r="N254" s="85"/>
      <c r="O254" s="27"/>
      <c r="P254" s="27"/>
      <c r="Q254" s="27"/>
      <c r="R254" s="70"/>
    </row>
    <row r="255" spans="1:18" ht="17.25" customHeight="1" x14ac:dyDescent="0.2">
      <c r="A255" s="68"/>
      <c r="B255" s="13"/>
      <c r="C255" s="13"/>
      <c r="D255" s="13"/>
      <c r="E255" s="13"/>
      <c r="F255" s="13"/>
      <c r="G255" s="13"/>
      <c r="H255" s="131"/>
      <c r="I255" s="80"/>
      <c r="J255" s="13"/>
      <c r="K255" s="13"/>
      <c r="L255" s="13"/>
      <c r="M255" s="49"/>
      <c r="N255" s="68"/>
      <c r="O255" s="13"/>
      <c r="P255" s="13"/>
      <c r="Q255" s="13"/>
      <c r="R255" s="49"/>
    </row>
    <row r="256" spans="1:18" ht="17.25" customHeight="1" x14ac:dyDescent="0.2">
      <c r="A256" s="136" t="s">
        <v>12</v>
      </c>
      <c r="B256" s="15" t="s">
        <v>386</v>
      </c>
      <c r="C256" s="15"/>
      <c r="D256" s="15"/>
      <c r="E256" s="15"/>
      <c r="F256" s="15"/>
      <c r="G256" s="15"/>
      <c r="H256" s="137"/>
      <c r="I256" s="73" t="s">
        <v>383</v>
      </c>
      <c r="J256" s="15"/>
      <c r="K256" s="15"/>
      <c r="L256" s="15"/>
      <c r="M256" s="74"/>
      <c r="N256" s="73" t="s">
        <v>1126</v>
      </c>
      <c r="O256" s="15"/>
      <c r="P256" s="15"/>
      <c r="Q256" s="15"/>
      <c r="R256" s="74"/>
    </row>
    <row r="257" spans="1:18" ht="17.25" customHeight="1" x14ac:dyDescent="0.2">
      <c r="A257" s="86" t="s">
        <v>885</v>
      </c>
      <c r="B257" s="15" t="s">
        <v>300</v>
      </c>
      <c r="C257" s="15"/>
      <c r="D257" s="15"/>
      <c r="E257" s="41" t="s">
        <v>16</v>
      </c>
      <c r="F257" s="15"/>
      <c r="G257" s="15"/>
      <c r="H257" s="137"/>
      <c r="I257" s="75" t="s">
        <v>734</v>
      </c>
      <c r="J257" s="15"/>
      <c r="K257" s="15"/>
      <c r="L257" s="15"/>
      <c r="M257" s="74"/>
      <c r="N257" s="82" t="s">
        <v>1127</v>
      </c>
      <c r="O257" s="15"/>
      <c r="P257" s="15"/>
      <c r="Q257" s="15"/>
      <c r="R257" s="74"/>
    </row>
    <row r="258" spans="1:18" ht="17.25" customHeight="1" x14ac:dyDescent="0.2">
      <c r="A258" s="86" t="s">
        <v>885</v>
      </c>
      <c r="B258" s="15" t="s">
        <v>301</v>
      </c>
      <c r="C258" s="15"/>
      <c r="D258" s="15"/>
      <c r="E258" s="41" t="s">
        <v>16</v>
      </c>
      <c r="F258" s="15" t="s">
        <v>302</v>
      </c>
      <c r="G258" s="15"/>
      <c r="H258" s="137"/>
      <c r="I258" s="75" t="s">
        <v>735</v>
      </c>
      <c r="J258" s="15"/>
      <c r="K258" s="15"/>
      <c r="L258" s="15"/>
      <c r="M258" s="74"/>
      <c r="N258" s="82" t="s">
        <v>1192</v>
      </c>
      <c r="O258" s="15"/>
      <c r="P258" s="15"/>
      <c r="Q258" s="15"/>
      <c r="R258" s="74"/>
    </row>
    <row r="259" spans="1:18" ht="17.25" customHeight="1" x14ac:dyDescent="0.2">
      <c r="A259" s="86" t="s">
        <v>885</v>
      </c>
      <c r="B259" s="15" t="s">
        <v>303</v>
      </c>
      <c r="C259" s="15"/>
      <c r="D259" s="15"/>
      <c r="E259" s="41" t="s">
        <v>16</v>
      </c>
      <c r="F259" s="15" t="s">
        <v>304</v>
      </c>
      <c r="G259" s="15"/>
      <c r="H259" s="137"/>
      <c r="I259" s="75" t="s">
        <v>852</v>
      </c>
      <c r="J259" s="15"/>
      <c r="K259" s="15"/>
      <c r="L259" s="15"/>
      <c r="M259" s="74"/>
      <c r="N259" s="82" t="s">
        <v>1128</v>
      </c>
      <c r="O259" s="15"/>
      <c r="P259" s="15"/>
      <c r="Q259" s="15"/>
      <c r="R259" s="74"/>
    </row>
    <row r="260" spans="1:18" ht="17.25" customHeight="1" x14ac:dyDescent="0.2">
      <c r="A260" s="86" t="s">
        <v>885</v>
      </c>
      <c r="B260" s="15" t="s">
        <v>305</v>
      </c>
      <c r="C260" s="15"/>
      <c r="D260" s="15"/>
      <c r="E260" s="41" t="s">
        <v>16</v>
      </c>
      <c r="F260" s="15" t="s">
        <v>304</v>
      </c>
      <c r="G260" s="15"/>
      <c r="H260" s="137"/>
      <c r="I260" s="75" t="s">
        <v>736</v>
      </c>
      <c r="J260" s="15"/>
      <c r="K260" s="15"/>
      <c r="L260" s="15"/>
      <c r="M260" s="74"/>
      <c r="N260" s="82" t="s">
        <v>1129</v>
      </c>
      <c r="O260" s="15"/>
      <c r="P260" s="15"/>
      <c r="Q260" s="15"/>
      <c r="R260" s="74"/>
    </row>
    <row r="261" spans="1:18" ht="17.25" customHeight="1" x14ac:dyDescent="0.2">
      <c r="A261" s="86" t="s">
        <v>885</v>
      </c>
      <c r="B261" s="15" t="s">
        <v>306</v>
      </c>
      <c r="C261" s="15"/>
      <c r="D261" s="15"/>
      <c r="E261" s="41" t="s">
        <v>16</v>
      </c>
      <c r="F261" s="15" t="s">
        <v>304</v>
      </c>
      <c r="G261" s="15"/>
      <c r="H261" s="137"/>
      <c r="I261" s="75" t="s">
        <v>737</v>
      </c>
      <c r="J261" s="15"/>
      <c r="K261" s="15"/>
      <c r="L261" s="15"/>
      <c r="M261" s="74"/>
      <c r="N261" s="82" t="s">
        <v>1130</v>
      </c>
      <c r="O261" s="15"/>
      <c r="P261" s="15"/>
      <c r="Q261" s="15"/>
      <c r="R261" s="74"/>
    </row>
    <row r="262" spans="1:18" ht="17.25" customHeight="1" x14ac:dyDescent="0.2">
      <c r="A262" s="86" t="s">
        <v>885</v>
      </c>
      <c r="B262" s="15" t="s">
        <v>307</v>
      </c>
      <c r="C262" s="15"/>
      <c r="D262" s="15"/>
      <c r="E262" s="41" t="s">
        <v>16</v>
      </c>
      <c r="F262" s="15" t="s">
        <v>304</v>
      </c>
      <c r="G262" s="15"/>
      <c r="H262" s="137"/>
      <c r="I262" s="75" t="s">
        <v>738</v>
      </c>
      <c r="J262" s="15"/>
      <c r="K262" s="15"/>
      <c r="L262" s="15"/>
      <c r="M262" s="74"/>
      <c r="N262" s="82" t="s">
        <v>1131</v>
      </c>
      <c r="O262" s="15"/>
      <c r="P262" s="15"/>
      <c r="Q262" s="15"/>
      <c r="R262" s="74"/>
    </row>
    <row r="263" spans="1:18" ht="17.25" customHeight="1" x14ac:dyDescent="0.2">
      <c r="A263" s="136" t="s">
        <v>21</v>
      </c>
      <c r="B263" s="15"/>
      <c r="C263" s="15"/>
      <c r="D263" s="15"/>
      <c r="E263" s="15"/>
      <c r="F263" s="15"/>
      <c r="G263" s="15"/>
      <c r="H263" s="137"/>
      <c r="I263" s="75"/>
      <c r="J263" s="15"/>
      <c r="K263" s="15"/>
      <c r="L263" s="15"/>
      <c r="M263" s="74"/>
      <c r="N263" s="75"/>
      <c r="O263" s="15"/>
      <c r="P263" s="15"/>
      <c r="Q263" s="15"/>
      <c r="R263" s="74"/>
    </row>
    <row r="264" spans="1:18" ht="17.25" customHeight="1" x14ac:dyDescent="0.2">
      <c r="A264" s="136" t="s">
        <v>12</v>
      </c>
      <c r="B264" s="15" t="s">
        <v>385</v>
      </c>
      <c r="C264" s="15"/>
      <c r="D264" s="15"/>
      <c r="E264" s="15"/>
      <c r="F264" s="15"/>
      <c r="G264" s="15"/>
      <c r="H264" s="137"/>
      <c r="I264" s="73" t="s">
        <v>384</v>
      </c>
      <c r="J264" s="15"/>
      <c r="K264" s="15"/>
      <c r="L264" s="15"/>
      <c r="M264" s="74"/>
      <c r="N264" s="73" t="s">
        <v>1133</v>
      </c>
      <c r="O264" s="15"/>
      <c r="P264" s="15"/>
      <c r="Q264" s="15"/>
      <c r="R264" s="74"/>
    </row>
    <row r="265" spans="1:18" ht="17.25" customHeight="1" x14ac:dyDescent="0.2">
      <c r="A265" s="86" t="s">
        <v>885</v>
      </c>
      <c r="B265" s="15" t="s">
        <v>308</v>
      </c>
      <c r="C265" s="15"/>
      <c r="D265" s="15"/>
      <c r="E265" s="41" t="s">
        <v>16</v>
      </c>
      <c r="F265" s="15"/>
      <c r="G265" s="15"/>
      <c r="H265" s="137"/>
      <c r="I265" s="75" t="s">
        <v>728</v>
      </c>
      <c r="J265" s="15"/>
      <c r="K265" s="15"/>
      <c r="L265" s="15"/>
      <c r="M265" s="74"/>
      <c r="N265" s="82" t="s">
        <v>1132</v>
      </c>
      <c r="O265" s="15"/>
      <c r="P265" s="15"/>
      <c r="Q265" s="15"/>
      <c r="R265" s="74"/>
    </row>
    <row r="266" spans="1:18" ht="17.25" customHeight="1" x14ac:dyDescent="0.2">
      <c r="A266" s="86" t="s">
        <v>885</v>
      </c>
      <c r="B266" s="15" t="s">
        <v>309</v>
      </c>
      <c r="C266" s="15"/>
      <c r="D266" s="15"/>
      <c r="E266" s="41" t="s">
        <v>16</v>
      </c>
      <c r="F266" s="15" t="s">
        <v>310</v>
      </c>
      <c r="G266" s="15"/>
      <c r="H266" s="137"/>
      <c r="I266" s="75" t="s">
        <v>729</v>
      </c>
      <c r="J266" s="15"/>
      <c r="K266" s="15"/>
      <c r="L266" s="15"/>
      <c r="M266" s="74"/>
      <c r="N266" s="82" t="s">
        <v>1134</v>
      </c>
      <c r="O266" s="15"/>
      <c r="P266" s="15"/>
      <c r="Q266" s="15"/>
      <c r="R266" s="74"/>
    </row>
    <row r="267" spans="1:18" ht="17.25" customHeight="1" x14ac:dyDescent="0.2">
      <c r="A267" s="86" t="s">
        <v>885</v>
      </c>
      <c r="B267" s="15" t="s">
        <v>311</v>
      </c>
      <c r="C267" s="15"/>
      <c r="D267" s="15"/>
      <c r="E267" s="41" t="s">
        <v>16</v>
      </c>
      <c r="F267" s="15" t="s">
        <v>312</v>
      </c>
      <c r="G267" s="15"/>
      <c r="H267" s="137"/>
      <c r="I267" s="75" t="s">
        <v>850</v>
      </c>
      <c r="J267" s="15"/>
      <c r="K267" s="15"/>
      <c r="L267" s="15"/>
      <c r="M267" s="74"/>
      <c r="N267" s="82" t="s">
        <v>1135</v>
      </c>
      <c r="O267" s="15"/>
      <c r="P267" s="15"/>
      <c r="Q267" s="15"/>
      <c r="R267" s="74"/>
    </row>
    <row r="268" spans="1:18" ht="17.25" customHeight="1" x14ac:dyDescent="0.2">
      <c r="A268" s="86" t="s">
        <v>885</v>
      </c>
      <c r="B268" s="15" t="s">
        <v>313</v>
      </c>
      <c r="C268" s="15"/>
      <c r="D268" s="15"/>
      <c r="E268" s="41" t="s">
        <v>16</v>
      </c>
      <c r="F268" s="15" t="s">
        <v>312</v>
      </c>
      <c r="G268" s="15"/>
      <c r="H268" s="137"/>
      <c r="I268" s="75" t="s">
        <v>730</v>
      </c>
      <c r="J268" s="15"/>
      <c r="K268" s="15"/>
      <c r="L268" s="15"/>
      <c r="M268" s="74"/>
      <c r="N268" s="82" t="s">
        <v>1136</v>
      </c>
      <c r="O268" s="15"/>
      <c r="P268" s="15"/>
      <c r="Q268" s="15"/>
      <c r="R268" s="74"/>
    </row>
    <row r="269" spans="1:18" ht="17.25" customHeight="1" x14ac:dyDescent="0.2">
      <c r="A269" s="86" t="s">
        <v>885</v>
      </c>
      <c r="B269" s="15" t="s">
        <v>314</v>
      </c>
      <c r="C269" s="15"/>
      <c r="D269" s="15"/>
      <c r="E269" s="41" t="s">
        <v>16</v>
      </c>
      <c r="F269" s="15" t="s">
        <v>312</v>
      </c>
      <c r="G269" s="15"/>
      <c r="H269" s="137"/>
      <c r="I269" s="75" t="s">
        <v>731</v>
      </c>
      <c r="J269" s="15"/>
      <c r="K269" s="15"/>
      <c r="L269" s="15"/>
      <c r="M269" s="74"/>
      <c r="N269" s="82" t="s">
        <v>1137</v>
      </c>
      <c r="O269" s="15"/>
      <c r="P269" s="15"/>
      <c r="Q269" s="15"/>
      <c r="R269" s="74"/>
    </row>
    <row r="270" spans="1:18" ht="17.25" customHeight="1" x14ac:dyDescent="0.2">
      <c r="A270" s="86" t="s">
        <v>885</v>
      </c>
      <c r="B270" s="15" t="s">
        <v>315</v>
      </c>
      <c r="C270" s="15"/>
      <c r="D270" s="15"/>
      <c r="E270" s="41" t="s">
        <v>16</v>
      </c>
      <c r="F270" s="15" t="s">
        <v>312</v>
      </c>
      <c r="G270" s="15"/>
      <c r="H270" s="137"/>
      <c r="I270" s="75" t="s">
        <v>732</v>
      </c>
      <c r="J270" s="15"/>
      <c r="K270" s="15"/>
      <c r="L270" s="15"/>
      <c r="M270" s="74"/>
      <c r="N270" s="82" t="s">
        <v>1138</v>
      </c>
      <c r="O270" s="15"/>
      <c r="P270" s="15"/>
      <c r="Q270" s="15"/>
      <c r="R270" s="74"/>
    </row>
    <row r="271" spans="1:18" ht="17.25" customHeight="1" x14ac:dyDescent="0.2">
      <c r="A271" s="86" t="s">
        <v>885</v>
      </c>
      <c r="B271" s="15" t="s">
        <v>316</v>
      </c>
      <c r="C271" s="15"/>
      <c r="D271" s="15"/>
      <c r="E271" s="41" t="s">
        <v>16</v>
      </c>
      <c r="F271" s="15" t="s">
        <v>312</v>
      </c>
      <c r="G271" s="15"/>
      <c r="H271" s="137"/>
      <c r="I271" s="75" t="s">
        <v>733</v>
      </c>
      <c r="J271" s="15"/>
      <c r="K271" s="15"/>
      <c r="L271" s="15"/>
      <c r="M271" s="74"/>
      <c r="N271" s="82" t="s">
        <v>1139</v>
      </c>
      <c r="O271" s="15"/>
      <c r="P271" s="15"/>
      <c r="Q271" s="15"/>
      <c r="R271" s="74"/>
    </row>
    <row r="272" spans="1:18" ht="17.25" customHeight="1" x14ac:dyDescent="0.2">
      <c r="A272" s="136" t="s">
        <v>21</v>
      </c>
      <c r="B272" s="15"/>
      <c r="C272" s="15"/>
      <c r="D272" s="15"/>
      <c r="E272" s="15"/>
      <c r="F272" s="15"/>
      <c r="G272" s="15"/>
      <c r="H272" s="137"/>
      <c r="I272" s="75"/>
      <c r="J272" s="15"/>
      <c r="K272" s="15"/>
      <c r="L272" s="15"/>
      <c r="M272" s="74"/>
      <c r="N272" s="75"/>
      <c r="O272" s="15"/>
      <c r="P272" s="15"/>
      <c r="Q272" s="15"/>
      <c r="R272" s="74"/>
    </row>
    <row r="273" spans="1:18" ht="17.25" customHeight="1" x14ac:dyDescent="0.2">
      <c r="A273" s="136" t="s">
        <v>12</v>
      </c>
      <c r="B273" s="15" t="s">
        <v>387</v>
      </c>
      <c r="C273" s="15"/>
      <c r="D273" s="15"/>
      <c r="E273" s="15"/>
      <c r="F273" s="15"/>
      <c r="G273" s="15"/>
      <c r="H273" s="137"/>
      <c r="I273" s="73" t="s">
        <v>394</v>
      </c>
      <c r="J273" s="15"/>
      <c r="K273" s="15"/>
      <c r="L273" s="15"/>
      <c r="M273" s="74"/>
      <c r="N273" s="73" t="s">
        <v>1140</v>
      </c>
      <c r="O273" s="15"/>
      <c r="P273" s="15"/>
      <c r="Q273" s="15"/>
      <c r="R273" s="74"/>
    </row>
    <row r="274" spans="1:18" ht="17.25" customHeight="1" x14ac:dyDescent="0.2">
      <c r="A274" s="86" t="s">
        <v>885</v>
      </c>
      <c r="B274" s="15" t="s">
        <v>317</v>
      </c>
      <c r="C274" s="15"/>
      <c r="D274" s="15"/>
      <c r="E274" s="41" t="s">
        <v>16</v>
      </c>
      <c r="F274" s="15"/>
      <c r="G274" s="15"/>
      <c r="H274" s="137"/>
      <c r="I274" s="75" t="s">
        <v>723</v>
      </c>
      <c r="J274" s="15"/>
      <c r="K274" s="15"/>
      <c r="L274" s="15"/>
      <c r="M274" s="74"/>
      <c r="N274" s="82" t="s">
        <v>1193</v>
      </c>
      <c r="O274" s="15"/>
      <c r="P274" s="15"/>
      <c r="Q274" s="15"/>
      <c r="R274" s="74"/>
    </row>
    <row r="275" spans="1:18" ht="17.25" customHeight="1" x14ac:dyDescent="0.2">
      <c r="A275" s="86" t="s">
        <v>885</v>
      </c>
      <c r="B275" s="15" t="s">
        <v>318</v>
      </c>
      <c r="C275" s="15"/>
      <c r="D275" s="15"/>
      <c r="E275" s="41" t="s">
        <v>16</v>
      </c>
      <c r="F275" s="15" t="s">
        <v>319</v>
      </c>
      <c r="G275" s="15"/>
      <c r="H275" s="137"/>
      <c r="I275" s="75" t="s">
        <v>724</v>
      </c>
      <c r="J275" s="15"/>
      <c r="K275" s="15"/>
      <c r="L275" s="15"/>
      <c r="M275" s="74"/>
      <c r="N275" s="82" t="s">
        <v>1141</v>
      </c>
      <c r="O275" s="15"/>
      <c r="P275" s="15"/>
      <c r="Q275" s="15"/>
      <c r="R275" s="74"/>
    </row>
    <row r="276" spans="1:18" ht="17.25" customHeight="1" x14ac:dyDescent="0.2">
      <c r="A276" s="86" t="s">
        <v>885</v>
      </c>
      <c r="B276" s="15" t="s">
        <v>320</v>
      </c>
      <c r="C276" s="15"/>
      <c r="D276" s="15"/>
      <c r="E276" s="41" t="s">
        <v>16</v>
      </c>
      <c r="F276" s="15" t="s">
        <v>321</v>
      </c>
      <c r="G276" s="15"/>
      <c r="H276" s="137"/>
      <c r="I276" s="75" t="s">
        <v>851</v>
      </c>
      <c r="J276" s="15"/>
      <c r="K276" s="15"/>
      <c r="L276" s="15"/>
      <c r="M276" s="74"/>
      <c r="N276" s="82" t="s">
        <v>1142</v>
      </c>
      <c r="O276" s="15"/>
      <c r="P276" s="15"/>
      <c r="Q276" s="15"/>
      <c r="R276" s="74"/>
    </row>
    <row r="277" spans="1:18" ht="17.25" customHeight="1" x14ac:dyDescent="0.2">
      <c r="A277" s="86" t="s">
        <v>885</v>
      </c>
      <c r="B277" s="15" t="s">
        <v>322</v>
      </c>
      <c r="C277" s="15"/>
      <c r="D277" s="15"/>
      <c r="E277" s="41" t="s">
        <v>16</v>
      </c>
      <c r="F277" s="15" t="s">
        <v>321</v>
      </c>
      <c r="G277" s="15"/>
      <c r="H277" s="137"/>
      <c r="I277" s="75" t="s">
        <v>725</v>
      </c>
      <c r="J277" s="15"/>
      <c r="K277" s="15"/>
      <c r="L277" s="15"/>
      <c r="M277" s="74"/>
      <c r="N277" s="82" t="s">
        <v>1143</v>
      </c>
      <c r="O277" s="15"/>
      <c r="P277" s="15"/>
      <c r="Q277" s="15"/>
      <c r="R277" s="74"/>
    </row>
    <row r="278" spans="1:18" ht="17.25" customHeight="1" x14ac:dyDescent="0.2">
      <c r="A278" s="86" t="s">
        <v>885</v>
      </c>
      <c r="B278" s="15" t="s">
        <v>323</v>
      </c>
      <c r="C278" s="15"/>
      <c r="D278" s="15"/>
      <c r="E278" s="41" t="s">
        <v>16</v>
      </c>
      <c r="F278" s="15" t="s">
        <v>321</v>
      </c>
      <c r="G278" s="15"/>
      <c r="H278" s="137"/>
      <c r="I278" s="75" t="s">
        <v>726</v>
      </c>
      <c r="J278" s="15"/>
      <c r="K278" s="15"/>
      <c r="L278" s="15"/>
      <c r="M278" s="74"/>
      <c r="N278" s="82" t="s">
        <v>1144</v>
      </c>
      <c r="O278" s="15"/>
      <c r="P278" s="15"/>
      <c r="Q278" s="15"/>
      <c r="R278" s="74"/>
    </row>
    <row r="279" spans="1:18" ht="17.25" customHeight="1" x14ac:dyDescent="0.2">
      <c r="A279" s="86" t="s">
        <v>885</v>
      </c>
      <c r="B279" s="15" t="s">
        <v>324</v>
      </c>
      <c r="C279" s="15"/>
      <c r="D279" s="15"/>
      <c r="E279" s="41" t="s">
        <v>16</v>
      </c>
      <c r="F279" s="15" t="s">
        <v>321</v>
      </c>
      <c r="G279" s="15"/>
      <c r="H279" s="137"/>
      <c r="I279" s="75" t="s">
        <v>727</v>
      </c>
      <c r="J279" s="15"/>
      <c r="K279" s="15"/>
      <c r="L279" s="15"/>
      <c r="M279" s="74"/>
      <c r="N279" s="82" t="s">
        <v>1145</v>
      </c>
      <c r="O279" s="15"/>
      <c r="P279" s="15"/>
      <c r="Q279" s="15"/>
      <c r="R279" s="74"/>
    </row>
    <row r="280" spans="1:18" ht="17.25" customHeight="1" x14ac:dyDescent="0.2">
      <c r="A280" s="136" t="s">
        <v>21</v>
      </c>
      <c r="B280" s="15"/>
      <c r="C280" s="15"/>
      <c r="D280" s="15"/>
      <c r="E280" s="15"/>
      <c r="F280" s="15"/>
      <c r="G280" s="15"/>
      <c r="H280" s="137"/>
      <c r="I280" s="75"/>
      <c r="J280" s="15"/>
      <c r="K280" s="15"/>
      <c r="L280" s="15"/>
      <c r="M280" s="74"/>
      <c r="N280" s="75"/>
      <c r="O280" s="15"/>
      <c r="P280" s="15"/>
      <c r="Q280" s="15"/>
      <c r="R280" s="74"/>
    </row>
    <row r="281" spans="1:18" ht="17.25" customHeight="1" x14ac:dyDescent="0.2">
      <c r="A281" s="136" t="s">
        <v>12</v>
      </c>
      <c r="B281" s="15" t="s">
        <v>391</v>
      </c>
      <c r="C281" s="15"/>
      <c r="D281" s="15"/>
      <c r="E281" s="15"/>
      <c r="F281" s="15"/>
      <c r="G281" s="15"/>
      <c r="H281" s="137"/>
      <c r="I281" s="73" t="s">
        <v>388</v>
      </c>
      <c r="J281" s="15"/>
      <c r="K281" s="15"/>
      <c r="L281" s="15"/>
      <c r="M281" s="74"/>
      <c r="N281" s="73" t="s">
        <v>1146</v>
      </c>
      <c r="O281" s="15"/>
      <c r="P281" s="15"/>
      <c r="Q281" s="15"/>
      <c r="R281" s="74"/>
    </row>
    <row r="282" spans="1:18" ht="17.25" customHeight="1" x14ac:dyDescent="0.2">
      <c r="A282" s="86" t="s">
        <v>885</v>
      </c>
      <c r="B282" s="15" t="s">
        <v>325</v>
      </c>
      <c r="C282" s="15"/>
      <c r="D282" s="15"/>
      <c r="E282" s="41" t="s">
        <v>16</v>
      </c>
      <c r="F282" s="15"/>
      <c r="G282" s="15"/>
      <c r="H282" s="137"/>
      <c r="I282" s="75" t="s">
        <v>720</v>
      </c>
      <c r="J282" s="15"/>
      <c r="K282" s="15"/>
      <c r="L282" s="15"/>
      <c r="M282" s="74"/>
      <c r="N282" s="82" t="s">
        <v>1147</v>
      </c>
      <c r="O282" s="15"/>
      <c r="P282" s="15"/>
      <c r="Q282" s="15"/>
      <c r="R282" s="74"/>
    </row>
    <row r="283" spans="1:18" ht="17.25" customHeight="1" x14ac:dyDescent="0.2">
      <c r="A283" s="86" t="s">
        <v>885</v>
      </c>
      <c r="B283" s="15" t="s">
        <v>326</v>
      </c>
      <c r="C283" s="15"/>
      <c r="D283" s="15"/>
      <c r="E283" s="41" t="s">
        <v>16</v>
      </c>
      <c r="F283" s="15"/>
      <c r="G283" s="15"/>
      <c r="H283" s="137"/>
      <c r="I283" s="75" t="s">
        <v>721</v>
      </c>
      <c r="J283" s="15"/>
      <c r="K283" s="15"/>
      <c r="L283" s="15"/>
      <c r="M283" s="74"/>
      <c r="N283" s="82" t="s">
        <v>1148</v>
      </c>
      <c r="O283" s="15"/>
      <c r="P283" s="15"/>
      <c r="Q283" s="15"/>
      <c r="R283" s="74"/>
    </row>
    <row r="284" spans="1:18" ht="17.25" customHeight="1" x14ac:dyDescent="0.2">
      <c r="A284" s="86" t="s">
        <v>885</v>
      </c>
      <c r="B284" s="15" t="s">
        <v>327</v>
      </c>
      <c r="C284" s="15"/>
      <c r="D284" s="15"/>
      <c r="E284" s="41" t="s">
        <v>16</v>
      </c>
      <c r="F284" s="15"/>
      <c r="G284" s="15"/>
      <c r="H284" s="137"/>
      <c r="I284" s="75" t="s">
        <v>722</v>
      </c>
      <c r="J284" s="15"/>
      <c r="K284" s="15"/>
      <c r="L284" s="15"/>
      <c r="M284" s="74"/>
      <c r="N284" s="82" t="s">
        <v>1149</v>
      </c>
      <c r="O284" s="15"/>
      <c r="P284" s="15"/>
      <c r="Q284" s="15"/>
      <c r="R284" s="74"/>
    </row>
    <row r="285" spans="1:18" ht="17.25" customHeight="1" x14ac:dyDescent="0.2">
      <c r="A285" s="136" t="s">
        <v>21</v>
      </c>
      <c r="B285" s="15"/>
      <c r="C285" s="15"/>
      <c r="D285" s="15"/>
      <c r="E285" s="15"/>
      <c r="F285" s="15"/>
      <c r="G285" s="15"/>
      <c r="H285" s="137"/>
      <c r="I285" s="75"/>
      <c r="J285" s="15"/>
      <c r="K285" s="15"/>
      <c r="L285" s="15"/>
      <c r="M285" s="74"/>
      <c r="N285" s="75"/>
      <c r="O285" s="15"/>
      <c r="P285" s="15"/>
      <c r="Q285" s="15"/>
      <c r="R285" s="74"/>
    </row>
    <row r="286" spans="1:18" ht="17.25" customHeight="1" x14ac:dyDescent="0.2">
      <c r="A286" s="136" t="s">
        <v>12</v>
      </c>
      <c r="B286" s="15" t="s">
        <v>390</v>
      </c>
      <c r="C286" s="15"/>
      <c r="D286" s="15"/>
      <c r="E286" s="15"/>
      <c r="F286" s="15"/>
      <c r="G286" s="15"/>
      <c r="H286" s="137"/>
      <c r="I286" s="75"/>
      <c r="J286" s="15"/>
      <c r="K286" s="15"/>
      <c r="L286" s="15"/>
      <c r="M286" s="74"/>
      <c r="N286" s="75"/>
      <c r="O286" s="15"/>
      <c r="P286" s="15"/>
      <c r="Q286" s="15"/>
      <c r="R286" s="74"/>
    </row>
    <row r="287" spans="1:18" ht="17.25" customHeight="1" x14ac:dyDescent="0.2">
      <c r="A287" s="86" t="s">
        <v>885</v>
      </c>
      <c r="B287" s="40" t="s">
        <v>818</v>
      </c>
      <c r="C287" s="40"/>
      <c r="D287" s="15"/>
      <c r="E287" s="40" t="s">
        <v>16</v>
      </c>
      <c r="F287" s="15"/>
      <c r="G287" s="15"/>
      <c r="H287" s="138"/>
      <c r="I287" s="75" t="s">
        <v>821</v>
      </c>
      <c r="J287" s="15"/>
      <c r="K287" s="15"/>
      <c r="L287" s="15"/>
      <c r="M287" s="74"/>
      <c r="N287" s="82" t="s">
        <v>1194</v>
      </c>
      <c r="O287" s="15"/>
      <c r="P287" s="15"/>
      <c r="Q287" s="15"/>
      <c r="R287" s="74"/>
    </row>
    <row r="288" spans="1:18" ht="17.25" customHeight="1" x14ac:dyDescent="0.2">
      <c r="A288" s="136" t="s">
        <v>12</v>
      </c>
      <c r="B288" s="40" t="s">
        <v>822</v>
      </c>
      <c r="C288" s="40"/>
      <c r="D288" s="15"/>
      <c r="E288" s="15"/>
      <c r="F288" s="40" t="s">
        <v>819</v>
      </c>
      <c r="G288" s="15"/>
      <c r="H288" s="138" t="s">
        <v>73</v>
      </c>
      <c r="I288" s="73" t="s">
        <v>389</v>
      </c>
      <c r="J288" s="15"/>
      <c r="K288" s="15"/>
      <c r="L288" s="15"/>
      <c r="M288" s="74"/>
      <c r="N288" s="73" t="s">
        <v>1150</v>
      </c>
      <c r="O288" s="15"/>
      <c r="P288" s="15"/>
      <c r="Q288" s="15"/>
      <c r="R288" s="74"/>
    </row>
    <row r="289" spans="1:18" ht="17.25" customHeight="1" x14ac:dyDescent="0.2">
      <c r="A289" s="139" t="s">
        <v>82</v>
      </c>
      <c r="B289" s="40" t="s">
        <v>712</v>
      </c>
      <c r="C289" s="40"/>
      <c r="D289" s="15"/>
      <c r="E289" s="15"/>
      <c r="F289" s="40"/>
      <c r="G289" s="15"/>
      <c r="H289" s="137"/>
      <c r="I289" s="75" t="s">
        <v>820</v>
      </c>
      <c r="J289" s="15"/>
      <c r="K289" s="15"/>
      <c r="L289" s="15"/>
      <c r="M289" s="74"/>
      <c r="N289" s="82" t="s">
        <v>1195</v>
      </c>
      <c r="O289" s="15"/>
      <c r="P289" s="15"/>
      <c r="Q289" s="15"/>
      <c r="R289" s="74"/>
    </row>
    <row r="290" spans="1:18" ht="17.25" customHeight="1" x14ac:dyDescent="0.2">
      <c r="A290" s="86" t="s">
        <v>885</v>
      </c>
      <c r="B290" s="15" t="s">
        <v>328</v>
      </c>
      <c r="C290" s="15"/>
      <c r="D290" s="15"/>
      <c r="E290" s="41" t="s">
        <v>16</v>
      </c>
      <c r="F290" s="40"/>
      <c r="G290" s="15"/>
      <c r="H290" s="137"/>
      <c r="I290" s="89" t="s">
        <v>713</v>
      </c>
      <c r="J290" s="15"/>
      <c r="K290" s="15"/>
      <c r="L290" s="41" t="s">
        <v>684</v>
      </c>
      <c r="M290" s="74"/>
      <c r="N290" s="82" t="s">
        <v>1152</v>
      </c>
      <c r="O290" s="15"/>
      <c r="P290" s="15"/>
      <c r="Q290" s="186" t="s">
        <v>1098</v>
      </c>
      <c r="R290" s="74"/>
    </row>
    <row r="291" spans="1:18" ht="17.25" customHeight="1" x14ac:dyDescent="0.2">
      <c r="A291" s="86" t="s">
        <v>885</v>
      </c>
      <c r="B291" s="15" t="s">
        <v>329</v>
      </c>
      <c r="C291" s="15"/>
      <c r="D291" s="15"/>
      <c r="E291" s="41" t="s">
        <v>16</v>
      </c>
      <c r="F291" s="15"/>
      <c r="G291" s="15"/>
      <c r="H291" s="137"/>
      <c r="I291" s="89" t="s">
        <v>714</v>
      </c>
      <c r="J291" s="15"/>
      <c r="K291" s="15"/>
      <c r="L291" s="41" t="s">
        <v>684</v>
      </c>
      <c r="M291" s="74"/>
      <c r="N291" s="82" t="s">
        <v>1151</v>
      </c>
      <c r="O291" s="15"/>
      <c r="P291" s="15"/>
      <c r="Q291" s="186" t="s">
        <v>1098</v>
      </c>
      <c r="R291" s="74"/>
    </row>
    <row r="292" spans="1:18" ht="17.25" customHeight="1" x14ac:dyDescent="0.2">
      <c r="A292" s="86" t="s">
        <v>885</v>
      </c>
      <c r="B292" s="15" t="s">
        <v>330</v>
      </c>
      <c r="C292" s="15"/>
      <c r="D292" s="15"/>
      <c r="E292" s="41" t="s">
        <v>16</v>
      </c>
      <c r="F292" s="15"/>
      <c r="G292" s="15"/>
      <c r="H292" s="137"/>
      <c r="I292" s="75" t="s">
        <v>715</v>
      </c>
      <c r="J292" s="15"/>
      <c r="K292" s="15"/>
      <c r="L292" s="41" t="s">
        <v>684</v>
      </c>
      <c r="M292" s="74"/>
      <c r="N292" s="82" t="s">
        <v>1153</v>
      </c>
      <c r="O292" s="15"/>
      <c r="P292" s="15"/>
      <c r="Q292" s="186" t="s">
        <v>1098</v>
      </c>
      <c r="R292" s="74"/>
    </row>
    <row r="293" spans="1:18" ht="17.25" customHeight="1" x14ac:dyDescent="0.2">
      <c r="A293" s="86" t="s">
        <v>885</v>
      </c>
      <c r="B293" s="15" t="s">
        <v>331</v>
      </c>
      <c r="C293" s="15"/>
      <c r="D293" s="15"/>
      <c r="E293" s="41" t="s">
        <v>16</v>
      </c>
      <c r="F293" s="15"/>
      <c r="G293" s="15"/>
      <c r="H293" s="137"/>
      <c r="I293" s="89" t="s">
        <v>716</v>
      </c>
      <c r="J293" s="15"/>
      <c r="K293" s="15"/>
      <c r="L293" s="41" t="s">
        <v>684</v>
      </c>
      <c r="M293" s="74"/>
      <c r="N293" s="82" t="s">
        <v>1154</v>
      </c>
      <c r="O293" s="15"/>
      <c r="P293" s="15"/>
      <c r="Q293" s="186" t="s">
        <v>1098</v>
      </c>
      <c r="R293" s="74"/>
    </row>
    <row r="294" spans="1:18" ht="17.25" customHeight="1" x14ac:dyDescent="0.2">
      <c r="A294" s="86" t="s">
        <v>885</v>
      </c>
      <c r="B294" s="15" t="s">
        <v>332</v>
      </c>
      <c r="C294" s="15"/>
      <c r="D294" s="15"/>
      <c r="E294" s="41" t="s">
        <v>16</v>
      </c>
      <c r="F294" s="15"/>
      <c r="G294" s="15"/>
      <c r="H294" s="137"/>
      <c r="I294" s="89" t="s">
        <v>717</v>
      </c>
      <c r="J294" s="15"/>
      <c r="K294" s="15"/>
      <c r="L294" s="41" t="s">
        <v>684</v>
      </c>
      <c r="M294" s="74"/>
      <c r="N294" s="82" t="s">
        <v>1155</v>
      </c>
      <c r="O294" s="15"/>
      <c r="P294" s="15"/>
      <c r="Q294" s="186" t="s">
        <v>1098</v>
      </c>
      <c r="R294" s="74"/>
    </row>
    <row r="295" spans="1:18" ht="17.25" customHeight="1" x14ac:dyDescent="0.2">
      <c r="A295" s="86" t="s">
        <v>885</v>
      </c>
      <c r="B295" s="15" t="s">
        <v>333</v>
      </c>
      <c r="C295" s="15"/>
      <c r="D295" s="15"/>
      <c r="E295" s="41" t="s">
        <v>16</v>
      </c>
      <c r="F295" s="15"/>
      <c r="G295" s="15"/>
      <c r="H295" s="137"/>
      <c r="I295" s="89" t="s">
        <v>718</v>
      </c>
      <c r="J295" s="15"/>
      <c r="K295" s="15"/>
      <c r="L295" s="41" t="s">
        <v>684</v>
      </c>
      <c r="M295" s="74"/>
      <c r="N295" s="82" t="s">
        <v>1156</v>
      </c>
      <c r="O295" s="15"/>
      <c r="P295" s="15"/>
      <c r="Q295" s="186" t="s">
        <v>1098</v>
      </c>
      <c r="R295" s="74"/>
    </row>
    <row r="296" spans="1:18" ht="17.25" customHeight="1" x14ac:dyDescent="0.2">
      <c r="A296" s="86" t="s">
        <v>885</v>
      </c>
      <c r="B296" s="40" t="s">
        <v>823</v>
      </c>
      <c r="C296" s="40"/>
      <c r="D296" s="15"/>
      <c r="E296" s="41" t="s">
        <v>16</v>
      </c>
      <c r="F296" s="15"/>
      <c r="G296" s="15"/>
      <c r="H296" s="137"/>
      <c r="I296" s="89" t="s">
        <v>824</v>
      </c>
      <c r="J296" s="15"/>
      <c r="K296" s="15"/>
      <c r="L296" s="41" t="s">
        <v>684</v>
      </c>
      <c r="M296" s="74"/>
      <c r="N296" s="82" t="s">
        <v>1157</v>
      </c>
      <c r="O296" s="15"/>
      <c r="P296" s="15"/>
      <c r="Q296" s="186" t="s">
        <v>1098</v>
      </c>
      <c r="R296" s="74"/>
    </row>
    <row r="297" spans="1:18" ht="17.25" customHeight="1" x14ac:dyDescent="0.2">
      <c r="A297" s="136" t="s">
        <v>21</v>
      </c>
      <c r="B297" s="15"/>
      <c r="C297" s="15"/>
      <c r="D297" s="15"/>
      <c r="E297" s="15"/>
      <c r="F297" s="15"/>
      <c r="G297" s="15"/>
      <c r="H297" s="137"/>
      <c r="I297" s="75"/>
      <c r="J297" s="15"/>
      <c r="K297" s="15"/>
      <c r="L297" s="15"/>
      <c r="M297" s="74"/>
      <c r="N297" s="86"/>
      <c r="O297" s="15"/>
      <c r="P297" s="15"/>
      <c r="Q297" s="15"/>
      <c r="R297" s="74"/>
    </row>
    <row r="298" spans="1:18" ht="17.25" customHeight="1" x14ac:dyDescent="0.2">
      <c r="A298" s="136" t="s">
        <v>12</v>
      </c>
      <c r="B298" s="15" t="s">
        <v>392</v>
      </c>
      <c r="C298" s="15"/>
      <c r="D298" s="15"/>
      <c r="E298" s="15"/>
      <c r="F298" s="15" t="s">
        <v>334</v>
      </c>
      <c r="G298" s="15"/>
      <c r="H298" s="137"/>
      <c r="I298" s="73" t="s">
        <v>393</v>
      </c>
      <c r="J298" s="15"/>
      <c r="K298" s="15"/>
      <c r="L298" s="15"/>
      <c r="M298" s="74"/>
      <c r="N298" s="73" t="s">
        <v>1158</v>
      </c>
      <c r="O298" s="15"/>
      <c r="P298" s="15"/>
      <c r="Q298" s="15"/>
      <c r="R298" s="74"/>
    </row>
    <row r="299" spans="1:18" ht="17.25" customHeight="1" x14ac:dyDescent="0.2">
      <c r="A299" s="86" t="s">
        <v>82</v>
      </c>
      <c r="B299" s="15" t="s">
        <v>335</v>
      </c>
      <c r="C299" s="15"/>
      <c r="D299" s="15"/>
      <c r="E299" s="15"/>
      <c r="F299" s="15"/>
      <c r="G299" s="15"/>
      <c r="H299" s="137"/>
      <c r="I299" s="75" t="s">
        <v>336</v>
      </c>
      <c r="J299" s="15"/>
      <c r="K299" s="15"/>
      <c r="L299" s="15"/>
      <c r="M299" s="74"/>
      <c r="N299" s="82" t="s">
        <v>1196</v>
      </c>
      <c r="O299" s="15"/>
      <c r="P299" s="15"/>
      <c r="Q299" s="15"/>
      <c r="R299" s="74"/>
    </row>
    <row r="300" spans="1:18" ht="17.25" customHeight="1" x14ac:dyDescent="0.2">
      <c r="A300" s="86" t="s">
        <v>880</v>
      </c>
      <c r="B300" s="15" t="s">
        <v>337</v>
      </c>
      <c r="C300" s="15"/>
      <c r="D300" s="15"/>
      <c r="E300" s="41" t="s">
        <v>16</v>
      </c>
      <c r="F300" s="15"/>
      <c r="G300" s="15"/>
      <c r="H300" s="137"/>
      <c r="I300" s="75" t="s">
        <v>719</v>
      </c>
      <c r="J300" s="15"/>
      <c r="K300" s="15"/>
      <c r="L300" s="15"/>
      <c r="M300" s="74"/>
      <c r="N300" s="82" t="s">
        <v>1159</v>
      </c>
      <c r="O300" s="15"/>
      <c r="P300" s="15"/>
      <c r="Q300" s="15"/>
      <c r="R300" s="74"/>
    </row>
    <row r="301" spans="1:18" ht="17.25" customHeight="1" x14ac:dyDescent="0.2">
      <c r="A301" s="136" t="s">
        <v>21</v>
      </c>
      <c r="B301" s="15"/>
      <c r="C301" s="15"/>
      <c r="D301" s="15"/>
      <c r="E301" s="15"/>
      <c r="F301" s="15"/>
      <c r="G301" s="15"/>
      <c r="H301" s="137"/>
      <c r="I301" s="75"/>
      <c r="J301" s="15"/>
      <c r="K301" s="15"/>
      <c r="L301" s="15"/>
      <c r="M301" s="74"/>
      <c r="N301" s="86"/>
      <c r="O301" s="15"/>
      <c r="P301" s="15"/>
      <c r="Q301" s="15"/>
      <c r="R301" s="74"/>
    </row>
    <row r="302" spans="1:18" ht="17.25" customHeight="1" x14ac:dyDescent="0.2">
      <c r="A302" s="121" t="s">
        <v>21</v>
      </c>
      <c r="B302" s="13"/>
      <c r="C302" s="13"/>
      <c r="D302" s="13"/>
      <c r="E302" s="13"/>
      <c r="F302" s="13"/>
      <c r="G302" s="13"/>
      <c r="H302" s="131"/>
      <c r="I302" s="80"/>
      <c r="J302" s="13"/>
      <c r="K302" s="13"/>
      <c r="L302" s="13"/>
      <c r="M302" s="49"/>
      <c r="N302" s="68"/>
      <c r="O302" s="13"/>
      <c r="P302" s="13"/>
      <c r="Q302" s="13"/>
      <c r="R302" s="49"/>
    </row>
    <row r="303" spans="1:18" ht="17.25" customHeight="1" x14ac:dyDescent="0.2">
      <c r="A303" s="121"/>
      <c r="B303" s="13"/>
      <c r="C303" s="13"/>
      <c r="D303" s="13"/>
      <c r="E303" s="13"/>
      <c r="F303" s="13"/>
      <c r="G303" s="13"/>
      <c r="H303" s="131"/>
      <c r="I303" s="80"/>
      <c r="J303" s="13"/>
      <c r="K303" s="13"/>
      <c r="L303" s="13"/>
      <c r="M303" s="49"/>
      <c r="N303" s="68"/>
      <c r="O303" s="13"/>
      <c r="P303" s="13"/>
      <c r="Q303" s="13"/>
      <c r="R303" s="49"/>
    </row>
    <row r="304" spans="1:18" s="35" customFormat="1" ht="17.25" customHeight="1" x14ac:dyDescent="0.2">
      <c r="A304" s="117"/>
      <c r="B304" s="174"/>
      <c r="C304" s="47"/>
      <c r="D304" s="174"/>
      <c r="E304" s="174"/>
      <c r="F304" s="174"/>
      <c r="G304" s="47"/>
      <c r="H304" s="176"/>
      <c r="I304" s="101"/>
      <c r="J304" s="47"/>
      <c r="K304" s="174"/>
      <c r="L304" s="47"/>
      <c r="M304" s="52"/>
      <c r="N304" s="175"/>
      <c r="O304" s="47"/>
      <c r="P304" s="47"/>
      <c r="Q304" s="47"/>
      <c r="R304" s="52"/>
    </row>
    <row r="305" spans="1:18" s="35" customFormat="1" ht="17.25" customHeight="1" x14ac:dyDescent="0.2">
      <c r="A305" s="117" t="s">
        <v>21</v>
      </c>
      <c r="B305" s="174" t="s">
        <v>372</v>
      </c>
      <c r="C305" s="47"/>
      <c r="D305" s="174"/>
      <c r="E305" s="174"/>
      <c r="F305" s="174"/>
      <c r="G305" s="47"/>
      <c r="H305" s="176"/>
      <c r="I305" s="101"/>
      <c r="J305" s="47"/>
      <c r="K305" s="47"/>
      <c r="L305" s="47"/>
      <c r="M305" s="52"/>
      <c r="N305" s="175"/>
      <c r="O305" s="47"/>
      <c r="P305" s="47"/>
      <c r="Q305" s="47"/>
      <c r="R305" s="52"/>
    </row>
    <row r="306" spans="1:18" ht="17.25" customHeight="1" x14ac:dyDescent="0.2">
      <c r="A306" s="121"/>
      <c r="B306" s="4"/>
      <c r="C306" s="13"/>
      <c r="D306" s="4"/>
      <c r="E306" s="4"/>
      <c r="F306" s="4"/>
      <c r="G306" s="13"/>
      <c r="H306" s="173"/>
      <c r="I306" s="80"/>
      <c r="J306" s="13"/>
      <c r="K306" s="13"/>
      <c r="L306" s="13"/>
      <c r="M306" s="49"/>
      <c r="N306" s="68"/>
      <c r="O306" s="13"/>
      <c r="P306" s="13"/>
      <c r="Q306" s="13"/>
      <c r="R306" s="49"/>
    </row>
    <row r="307" spans="1:18" ht="17.25" customHeight="1" x14ac:dyDescent="0.2">
      <c r="A307" s="121"/>
      <c r="B307" s="4"/>
      <c r="C307" s="13"/>
      <c r="D307" s="4"/>
      <c r="E307" s="4"/>
      <c r="F307" s="4"/>
      <c r="G307" s="13"/>
      <c r="H307" s="173"/>
      <c r="I307" s="80"/>
      <c r="J307" s="13"/>
      <c r="K307" s="13"/>
      <c r="L307" s="13"/>
      <c r="M307" s="49"/>
      <c r="N307" s="68"/>
      <c r="O307" s="13"/>
      <c r="P307" s="13"/>
      <c r="Q307" s="13"/>
      <c r="R307" s="49"/>
    </row>
    <row r="308" spans="1:18" ht="17.25" customHeight="1" x14ac:dyDescent="0.2">
      <c r="A308" s="48" t="s">
        <v>885</v>
      </c>
      <c r="B308" s="5" t="s">
        <v>421</v>
      </c>
      <c r="E308" s="5" t="s">
        <v>16</v>
      </c>
      <c r="F308" s="5" t="s">
        <v>27</v>
      </c>
      <c r="H308" s="49"/>
      <c r="I308" s="80" t="s">
        <v>422</v>
      </c>
      <c r="M308" s="49"/>
      <c r="N308" s="184" t="s">
        <v>1160</v>
      </c>
      <c r="R308" s="49"/>
    </row>
    <row r="309" spans="1:18" ht="17.25" customHeight="1" x14ac:dyDescent="0.2">
      <c r="A309" s="164" t="s">
        <v>11</v>
      </c>
      <c r="B309" s="165" t="s">
        <v>855</v>
      </c>
      <c r="C309" s="166"/>
      <c r="D309" s="166"/>
      <c r="E309" s="166"/>
      <c r="F309" s="166"/>
      <c r="G309" s="165" t="s">
        <v>861</v>
      </c>
      <c r="H309" s="165"/>
      <c r="I309" s="80"/>
      <c r="J309" s="13"/>
      <c r="K309" s="13"/>
      <c r="L309" s="13"/>
      <c r="M309" s="49"/>
      <c r="N309" s="68"/>
      <c r="O309" s="13"/>
      <c r="P309" s="13"/>
      <c r="Q309" s="13"/>
      <c r="R309" s="49"/>
    </row>
    <row r="310" spans="1:18" ht="17.25" customHeight="1" x14ac:dyDescent="0.2">
      <c r="A310" s="164" t="s">
        <v>11</v>
      </c>
      <c r="B310" s="165" t="s">
        <v>862</v>
      </c>
      <c r="C310" s="166"/>
      <c r="D310" s="166"/>
      <c r="E310" s="166"/>
      <c r="F310" s="166"/>
      <c r="G310" s="165" t="s">
        <v>864</v>
      </c>
      <c r="H310" s="165"/>
      <c r="I310" s="80"/>
      <c r="J310" s="13"/>
      <c r="K310" s="13"/>
      <c r="L310" s="13"/>
      <c r="M310" s="49"/>
      <c r="N310" s="68"/>
      <c r="O310" s="13"/>
      <c r="P310" s="13"/>
      <c r="Q310" s="13"/>
      <c r="R310" s="49"/>
    </row>
    <row r="311" spans="1:18" ht="17.25" customHeight="1" x14ac:dyDescent="0.2">
      <c r="A311" s="48"/>
      <c r="H311" s="49"/>
      <c r="I311" s="80"/>
      <c r="M311" s="49"/>
      <c r="N311" s="48"/>
      <c r="R311" s="49"/>
    </row>
    <row r="312" spans="1:18" ht="17.25" customHeight="1" x14ac:dyDescent="0.2">
      <c r="A312" s="140" t="s">
        <v>12</v>
      </c>
      <c r="B312" s="43" t="s">
        <v>338</v>
      </c>
      <c r="C312" s="43"/>
      <c r="D312" s="16"/>
      <c r="E312" s="16"/>
      <c r="F312" s="43" t="s">
        <v>423</v>
      </c>
      <c r="G312" s="16"/>
      <c r="H312" s="141"/>
      <c r="I312" s="78" t="s">
        <v>339</v>
      </c>
      <c r="J312" s="16"/>
      <c r="K312" s="16"/>
      <c r="L312" s="16"/>
      <c r="M312" s="77"/>
      <c r="N312" s="76" t="s">
        <v>339</v>
      </c>
      <c r="O312" s="28"/>
      <c r="P312" s="28"/>
      <c r="Q312" s="28"/>
      <c r="R312" s="77"/>
    </row>
    <row r="313" spans="1:18" ht="17.25" customHeight="1" x14ac:dyDescent="0.2">
      <c r="A313" s="142" t="s">
        <v>12</v>
      </c>
      <c r="B313" s="16" t="s">
        <v>401</v>
      </c>
      <c r="C313" s="16"/>
      <c r="D313" s="16"/>
      <c r="E313" s="16"/>
      <c r="F313" s="16"/>
      <c r="G313" s="16"/>
      <c r="H313" s="141"/>
      <c r="I313" s="78" t="s">
        <v>400</v>
      </c>
      <c r="J313" s="16"/>
      <c r="K313" s="16"/>
      <c r="L313" s="16"/>
      <c r="M313" s="77"/>
      <c r="N313" s="78" t="s">
        <v>400</v>
      </c>
      <c r="O313" s="28"/>
      <c r="P313" s="28"/>
      <c r="Q313" s="28"/>
      <c r="R313" s="77"/>
    </row>
    <row r="314" spans="1:18" ht="17.25" customHeight="1" x14ac:dyDescent="0.2">
      <c r="A314" s="87" t="s">
        <v>13</v>
      </c>
      <c r="B314" s="16" t="s">
        <v>340</v>
      </c>
      <c r="C314" s="16"/>
      <c r="D314" s="43" t="s">
        <v>15</v>
      </c>
      <c r="E314" s="43" t="s">
        <v>16</v>
      </c>
      <c r="F314" s="16"/>
      <c r="G314" s="16" t="s">
        <v>807</v>
      </c>
      <c r="H314" s="141"/>
      <c r="I314" s="79" t="s">
        <v>739</v>
      </c>
      <c r="J314" s="43" t="s">
        <v>502</v>
      </c>
      <c r="K314" s="16"/>
      <c r="L314" s="16"/>
      <c r="M314" s="77"/>
      <c r="N314" s="82" t="s">
        <v>1161</v>
      </c>
      <c r="O314" s="181" t="s">
        <v>1167</v>
      </c>
      <c r="P314" s="28"/>
      <c r="Q314" s="28"/>
      <c r="R314" s="77"/>
    </row>
    <row r="315" spans="1:18" ht="17.25" customHeight="1" x14ac:dyDescent="0.2">
      <c r="A315" s="87" t="s">
        <v>13</v>
      </c>
      <c r="B315" s="16" t="s">
        <v>341</v>
      </c>
      <c r="C315" s="16"/>
      <c r="D315" s="43" t="s">
        <v>15</v>
      </c>
      <c r="E315" s="43" t="s">
        <v>16</v>
      </c>
      <c r="F315" s="16"/>
      <c r="G315" s="16" t="s">
        <v>807</v>
      </c>
      <c r="H315" s="141"/>
      <c r="I315" s="79" t="s">
        <v>740</v>
      </c>
      <c r="J315" s="43" t="s">
        <v>502</v>
      </c>
      <c r="K315" s="16"/>
      <c r="L315" s="16"/>
      <c r="M315" s="77"/>
      <c r="N315" s="82" t="s">
        <v>1162</v>
      </c>
      <c r="O315" s="181" t="s">
        <v>1167</v>
      </c>
      <c r="P315" s="28"/>
      <c r="Q315" s="28"/>
      <c r="R315" s="77"/>
    </row>
    <row r="316" spans="1:18" ht="17.25" customHeight="1" x14ac:dyDescent="0.2">
      <c r="A316" s="142" t="s">
        <v>12</v>
      </c>
      <c r="B316" s="16" t="s">
        <v>342</v>
      </c>
      <c r="C316" s="16"/>
      <c r="D316" s="16"/>
      <c r="E316" s="43"/>
      <c r="F316" s="16"/>
      <c r="G316" s="16"/>
      <c r="H316" s="141" t="s">
        <v>73</v>
      </c>
      <c r="I316" s="79" t="s">
        <v>760</v>
      </c>
      <c r="J316" s="16"/>
      <c r="K316" s="16"/>
      <c r="L316" s="16"/>
      <c r="M316" s="77"/>
      <c r="N316" s="80" t="s">
        <v>760</v>
      </c>
      <c r="O316" s="28"/>
      <c r="P316" s="28"/>
      <c r="Q316" s="28"/>
      <c r="R316" s="77"/>
    </row>
    <row r="317" spans="1:18" ht="17.25" customHeight="1" x14ac:dyDescent="0.2">
      <c r="A317" s="142" t="s">
        <v>82</v>
      </c>
      <c r="B317" s="42" t="s">
        <v>759</v>
      </c>
      <c r="C317" s="42"/>
      <c r="D317" s="16"/>
      <c r="E317" s="43"/>
      <c r="F317" s="16"/>
      <c r="G317" s="16"/>
      <c r="H317" s="141"/>
      <c r="I317" s="79" t="s">
        <v>343</v>
      </c>
      <c r="J317" s="16"/>
      <c r="K317" s="42" t="s">
        <v>428</v>
      </c>
      <c r="L317" s="16"/>
      <c r="M317" s="77"/>
      <c r="N317" s="79" t="s">
        <v>1163</v>
      </c>
      <c r="O317" s="28"/>
      <c r="P317" s="181" t="s">
        <v>1168</v>
      </c>
      <c r="Q317" s="28"/>
      <c r="R317" s="77"/>
    </row>
    <row r="318" spans="1:18" ht="17.25" customHeight="1" x14ac:dyDescent="0.2">
      <c r="A318" s="87" t="s">
        <v>13</v>
      </c>
      <c r="B318" s="16" t="s">
        <v>344</v>
      </c>
      <c r="C318" s="16"/>
      <c r="D318" s="43" t="s">
        <v>426</v>
      </c>
      <c r="E318" s="43" t="s">
        <v>16</v>
      </c>
      <c r="F318" s="16"/>
      <c r="G318" s="16"/>
      <c r="H318" s="141"/>
      <c r="I318" s="79" t="s">
        <v>741</v>
      </c>
      <c r="J318" s="43" t="s">
        <v>475</v>
      </c>
      <c r="K318" s="43"/>
      <c r="L318" s="16"/>
      <c r="M318" s="77"/>
      <c r="N318" s="82" t="s">
        <v>741</v>
      </c>
      <c r="O318" s="181" t="s">
        <v>1169</v>
      </c>
      <c r="P318" s="28"/>
      <c r="Q318" s="28"/>
      <c r="R318" s="77"/>
    </row>
    <row r="319" spans="1:18" ht="17.25" customHeight="1" x14ac:dyDescent="0.2">
      <c r="A319" s="164" t="s">
        <v>11</v>
      </c>
      <c r="B319" s="165" t="s">
        <v>867</v>
      </c>
      <c r="C319" s="166"/>
      <c r="D319" s="166"/>
      <c r="E319" s="166"/>
      <c r="F319" s="166"/>
      <c r="G319" s="165" t="s">
        <v>866</v>
      </c>
      <c r="H319" s="165"/>
      <c r="I319" s="79"/>
      <c r="J319" s="43"/>
      <c r="K319" s="43"/>
      <c r="L319" s="16"/>
      <c r="M319" s="77"/>
      <c r="N319" s="79"/>
      <c r="O319" s="28"/>
      <c r="P319" s="28"/>
      <c r="Q319" s="28"/>
      <c r="R319" s="77"/>
    </row>
    <row r="320" spans="1:18" ht="17.25" customHeight="1" x14ac:dyDescent="0.2">
      <c r="A320" s="87" t="s">
        <v>13</v>
      </c>
      <c r="B320" s="16" t="s">
        <v>345</v>
      </c>
      <c r="C320" s="16"/>
      <c r="D320" s="43" t="s">
        <v>427</v>
      </c>
      <c r="E320" s="43" t="s">
        <v>16</v>
      </c>
      <c r="F320" s="16"/>
      <c r="G320" s="16"/>
      <c r="H320" s="141"/>
      <c r="I320" s="79" t="s">
        <v>742</v>
      </c>
      <c r="J320" s="43" t="s">
        <v>474</v>
      </c>
      <c r="K320" s="16"/>
      <c r="L320" s="16"/>
      <c r="M320" s="77"/>
      <c r="N320" s="82" t="s">
        <v>742</v>
      </c>
      <c r="O320" s="181" t="s">
        <v>1170</v>
      </c>
      <c r="P320" s="28"/>
      <c r="Q320" s="28"/>
      <c r="R320" s="77"/>
    </row>
    <row r="321" spans="1:18" ht="17.25" customHeight="1" x14ac:dyDescent="0.2">
      <c r="A321" s="87" t="s">
        <v>13</v>
      </c>
      <c r="B321" s="16" t="s">
        <v>365</v>
      </c>
      <c r="C321" s="16"/>
      <c r="D321" s="43" t="s">
        <v>477</v>
      </c>
      <c r="E321" s="43" t="s">
        <v>16</v>
      </c>
      <c r="F321" s="16"/>
      <c r="G321" s="16"/>
      <c r="H321" s="141"/>
      <c r="I321" s="79" t="s">
        <v>743</v>
      </c>
      <c r="J321" s="43" t="s">
        <v>476</v>
      </c>
      <c r="K321" s="16"/>
      <c r="L321" s="16"/>
      <c r="M321" s="77"/>
      <c r="N321" s="82" t="s">
        <v>743</v>
      </c>
      <c r="O321" s="181" t="s">
        <v>1171</v>
      </c>
      <c r="P321" s="28"/>
      <c r="Q321" s="28"/>
      <c r="R321" s="77"/>
    </row>
    <row r="322" spans="1:18" ht="17.25" customHeight="1" x14ac:dyDescent="0.2">
      <c r="A322" s="142" t="s">
        <v>21</v>
      </c>
      <c r="B322" s="16"/>
      <c r="C322" s="16"/>
      <c r="D322" s="16"/>
      <c r="E322" s="16"/>
      <c r="F322" s="16"/>
      <c r="G322" s="16"/>
      <c r="H322" s="141"/>
      <c r="I322" s="79"/>
      <c r="J322" s="16"/>
      <c r="K322" s="16"/>
      <c r="L322" s="16"/>
      <c r="M322" s="77"/>
      <c r="N322" s="79"/>
      <c r="O322" s="28"/>
      <c r="P322" s="28"/>
      <c r="Q322" s="28"/>
      <c r="R322" s="77"/>
    </row>
    <row r="323" spans="1:18" ht="17.25" customHeight="1" x14ac:dyDescent="0.2">
      <c r="A323" s="142" t="s">
        <v>12</v>
      </c>
      <c r="B323" s="16" t="s">
        <v>346</v>
      </c>
      <c r="C323" s="16"/>
      <c r="D323" s="16"/>
      <c r="E323" s="16"/>
      <c r="F323" s="43" t="s">
        <v>480</v>
      </c>
      <c r="G323" s="16"/>
      <c r="H323" s="141" t="s">
        <v>73</v>
      </c>
      <c r="I323" s="79" t="s">
        <v>761</v>
      </c>
      <c r="J323" s="16"/>
      <c r="K323" s="16"/>
      <c r="L323" s="16"/>
      <c r="M323" s="77"/>
      <c r="N323" s="79" t="s">
        <v>761</v>
      </c>
      <c r="O323" s="28"/>
      <c r="P323" s="28"/>
      <c r="Q323" s="28"/>
      <c r="R323" s="77"/>
    </row>
    <row r="324" spans="1:18" ht="17.25" customHeight="1" x14ac:dyDescent="0.2">
      <c r="A324" s="142" t="s">
        <v>82</v>
      </c>
      <c r="B324" s="42" t="s">
        <v>764</v>
      </c>
      <c r="C324" s="42"/>
      <c r="D324" s="16"/>
      <c r="E324" s="43"/>
      <c r="F324" s="16"/>
      <c r="G324" s="16"/>
      <c r="H324" s="141"/>
      <c r="I324" s="79" t="s">
        <v>347</v>
      </c>
      <c r="J324" s="16"/>
      <c r="K324" s="42" t="s">
        <v>428</v>
      </c>
      <c r="L324" s="16"/>
      <c r="M324" s="77"/>
      <c r="N324" s="82" t="s">
        <v>1164</v>
      </c>
      <c r="O324" s="28"/>
      <c r="P324" s="181" t="s">
        <v>1168</v>
      </c>
      <c r="Q324" s="28"/>
      <c r="R324" s="77"/>
    </row>
    <row r="325" spans="1:18" ht="17.25" customHeight="1" x14ac:dyDescent="0.2">
      <c r="A325" s="87" t="s">
        <v>13</v>
      </c>
      <c r="B325" s="16" t="s">
        <v>348</v>
      </c>
      <c r="C325" s="16"/>
      <c r="D325" s="43" t="s">
        <v>468</v>
      </c>
      <c r="E325" s="43" t="s">
        <v>16</v>
      </c>
      <c r="F325" s="16"/>
      <c r="G325" s="16"/>
      <c r="H325" s="141"/>
      <c r="I325" s="79" t="s">
        <v>744</v>
      </c>
      <c r="J325" s="43" t="s">
        <v>475</v>
      </c>
      <c r="K325" s="42"/>
      <c r="L325" s="16"/>
      <c r="M325" s="77"/>
      <c r="N325" s="82" t="s">
        <v>744</v>
      </c>
      <c r="O325" s="181" t="s">
        <v>1169</v>
      </c>
      <c r="P325" s="28"/>
      <c r="Q325" s="28"/>
      <c r="R325" s="77"/>
    </row>
    <row r="326" spans="1:18" ht="17.25" customHeight="1" x14ac:dyDescent="0.2">
      <c r="A326" s="164" t="s">
        <v>11</v>
      </c>
      <c r="B326" s="165" t="s">
        <v>868</v>
      </c>
      <c r="C326" s="166"/>
      <c r="D326" s="166"/>
      <c r="E326" s="166"/>
      <c r="F326" s="166"/>
      <c r="G326" s="165" t="s">
        <v>869</v>
      </c>
      <c r="H326" s="165"/>
      <c r="I326" s="79"/>
      <c r="J326" s="43"/>
      <c r="K326" s="42"/>
      <c r="L326" s="16"/>
      <c r="M326" s="77"/>
      <c r="N326" s="79"/>
      <c r="O326" s="28"/>
      <c r="P326" s="28"/>
      <c r="Q326" s="28"/>
      <c r="R326" s="77"/>
    </row>
    <row r="327" spans="1:18" ht="17.25" customHeight="1" x14ac:dyDescent="0.2">
      <c r="A327" s="87" t="s">
        <v>13</v>
      </c>
      <c r="B327" s="16" t="s">
        <v>349</v>
      </c>
      <c r="C327" s="16"/>
      <c r="D327" s="43" t="s">
        <v>469</v>
      </c>
      <c r="E327" s="43" t="s">
        <v>16</v>
      </c>
      <c r="F327" s="16"/>
      <c r="G327" s="16"/>
      <c r="H327" s="141"/>
      <c r="I327" s="79" t="s">
        <v>745</v>
      </c>
      <c r="J327" s="43" t="s">
        <v>474</v>
      </c>
      <c r="K327" s="16"/>
      <c r="L327" s="16"/>
      <c r="M327" s="77"/>
      <c r="N327" s="82" t="s">
        <v>745</v>
      </c>
      <c r="O327" s="181" t="s">
        <v>1170</v>
      </c>
      <c r="P327" s="28"/>
      <c r="Q327" s="28"/>
      <c r="R327" s="77"/>
    </row>
    <row r="328" spans="1:18" ht="17.25" customHeight="1" x14ac:dyDescent="0.2">
      <c r="A328" s="87" t="s">
        <v>13</v>
      </c>
      <c r="B328" s="16" t="s">
        <v>366</v>
      </c>
      <c r="C328" s="16"/>
      <c r="D328" s="43" t="s">
        <v>478</v>
      </c>
      <c r="E328" s="43" t="s">
        <v>16</v>
      </c>
      <c r="F328" s="16"/>
      <c r="G328" s="16"/>
      <c r="H328" s="141"/>
      <c r="I328" s="79" t="s">
        <v>746</v>
      </c>
      <c r="J328" s="43" t="s">
        <v>476</v>
      </c>
      <c r="K328" s="16"/>
      <c r="L328" s="16"/>
      <c r="M328" s="77"/>
      <c r="N328" s="82" t="s">
        <v>746</v>
      </c>
      <c r="O328" s="181" t="s">
        <v>1171</v>
      </c>
      <c r="P328" s="28"/>
      <c r="Q328" s="28"/>
      <c r="R328" s="77"/>
    </row>
    <row r="329" spans="1:18" ht="17.25" customHeight="1" x14ac:dyDescent="0.2">
      <c r="A329" s="142" t="s">
        <v>21</v>
      </c>
      <c r="B329" s="16"/>
      <c r="C329" s="16"/>
      <c r="D329" s="16"/>
      <c r="E329" s="16"/>
      <c r="F329" s="16"/>
      <c r="G329" s="16"/>
      <c r="H329" s="141"/>
      <c r="I329" s="79"/>
      <c r="J329" s="16"/>
      <c r="K329" s="16"/>
      <c r="L329" s="16"/>
      <c r="M329" s="77"/>
      <c r="N329" s="79"/>
      <c r="O329" s="28"/>
      <c r="P329" s="28"/>
      <c r="Q329" s="28"/>
      <c r="R329" s="77"/>
    </row>
    <row r="330" spans="1:18" ht="17.25" customHeight="1" x14ac:dyDescent="0.2">
      <c r="A330" s="142" t="s">
        <v>12</v>
      </c>
      <c r="B330" s="16" t="s">
        <v>350</v>
      </c>
      <c r="C330" s="16"/>
      <c r="D330" s="16"/>
      <c r="E330" s="16"/>
      <c r="F330" s="43" t="s">
        <v>481</v>
      </c>
      <c r="G330" s="16"/>
      <c r="H330" s="141" t="s">
        <v>73</v>
      </c>
      <c r="I330" s="79" t="s">
        <v>762</v>
      </c>
      <c r="J330" s="16"/>
      <c r="K330" s="16"/>
      <c r="L330" s="16"/>
      <c r="M330" s="77"/>
      <c r="N330" s="79" t="s">
        <v>762</v>
      </c>
      <c r="O330" s="28"/>
      <c r="P330" s="28"/>
      <c r="Q330" s="28"/>
      <c r="R330" s="77"/>
    </row>
    <row r="331" spans="1:18" ht="17.25" customHeight="1" x14ac:dyDescent="0.2">
      <c r="A331" s="142" t="s">
        <v>82</v>
      </c>
      <c r="B331" s="42" t="s">
        <v>763</v>
      </c>
      <c r="C331" s="42"/>
      <c r="D331" s="16"/>
      <c r="E331" s="43"/>
      <c r="F331" s="16"/>
      <c r="G331" s="16"/>
      <c r="H331" s="141"/>
      <c r="I331" s="79" t="s">
        <v>351</v>
      </c>
      <c r="J331" s="16"/>
      <c r="K331" s="42" t="s">
        <v>428</v>
      </c>
      <c r="L331" s="16"/>
      <c r="M331" s="77"/>
      <c r="N331" s="82" t="s">
        <v>1165</v>
      </c>
      <c r="O331" s="28"/>
      <c r="P331" s="181" t="s">
        <v>1168</v>
      </c>
      <c r="Q331" s="28"/>
      <c r="R331" s="77"/>
    </row>
    <row r="332" spans="1:18" ht="17.25" customHeight="1" x14ac:dyDescent="0.2">
      <c r="A332" s="87" t="s">
        <v>13</v>
      </c>
      <c r="B332" s="16" t="s">
        <v>352</v>
      </c>
      <c r="C332" s="16"/>
      <c r="D332" s="43" t="s">
        <v>468</v>
      </c>
      <c r="E332" s="43" t="s">
        <v>16</v>
      </c>
      <c r="F332" s="16"/>
      <c r="G332" s="16"/>
      <c r="H332" s="141"/>
      <c r="I332" s="79" t="s">
        <v>747</v>
      </c>
      <c r="J332" s="43" t="s">
        <v>475</v>
      </c>
      <c r="K332" s="42"/>
      <c r="L332" s="16"/>
      <c r="M332" s="77"/>
      <c r="N332" s="82" t="s">
        <v>747</v>
      </c>
      <c r="O332" s="181" t="s">
        <v>1169</v>
      </c>
      <c r="P332" s="28"/>
      <c r="Q332" s="28"/>
      <c r="R332" s="77"/>
    </row>
    <row r="333" spans="1:18" ht="17.25" customHeight="1" x14ac:dyDescent="0.2">
      <c r="A333" s="164" t="s">
        <v>11</v>
      </c>
      <c r="B333" s="165" t="s">
        <v>870</v>
      </c>
      <c r="C333" s="166"/>
      <c r="D333" s="166"/>
      <c r="E333" s="166"/>
      <c r="F333" s="166"/>
      <c r="G333" s="165" t="s">
        <v>871</v>
      </c>
      <c r="H333" s="165"/>
      <c r="I333" s="79"/>
      <c r="J333" s="43"/>
      <c r="K333" s="42"/>
      <c r="L333" s="16"/>
      <c r="M333" s="77"/>
      <c r="N333" s="79"/>
      <c r="O333" s="28"/>
      <c r="P333" s="28"/>
      <c r="Q333" s="28"/>
      <c r="R333" s="77"/>
    </row>
    <row r="334" spans="1:18" ht="17.25" customHeight="1" x14ac:dyDescent="0.2">
      <c r="A334" s="87" t="s">
        <v>13</v>
      </c>
      <c r="B334" s="16" t="s">
        <v>353</v>
      </c>
      <c r="C334" s="16"/>
      <c r="D334" s="43" t="s">
        <v>470</v>
      </c>
      <c r="E334" s="43" t="s">
        <v>16</v>
      </c>
      <c r="F334" s="16"/>
      <c r="G334" s="16"/>
      <c r="H334" s="141"/>
      <c r="I334" s="79" t="s">
        <v>748</v>
      </c>
      <c r="J334" s="43" t="s">
        <v>474</v>
      </c>
      <c r="K334" s="16"/>
      <c r="L334" s="16"/>
      <c r="M334" s="77"/>
      <c r="N334" s="82" t="s">
        <v>748</v>
      </c>
      <c r="O334" s="181" t="s">
        <v>1170</v>
      </c>
      <c r="P334" s="28"/>
      <c r="Q334" s="28"/>
      <c r="R334" s="77"/>
    </row>
    <row r="335" spans="1:18" ht="17.25" customHeight="1" x14ac:dyDescent="0.2">
      <c r="A335" s="87" t="s">
        <v>13</v>
      </c>
      <c r="B335" s="16" t="s">
        <v>367</v>
      </c>
      <c r="C335" s="16"/>
      <c r="D335" s="43" t="s">
        <v>479</v>
      </c>
      <c r="E335" s="43" t="s">
        <v>16</v>
      </c>
      <c r="F335" s="16"/>
      <c r="G335" s="16"/>
      <c r="H335" s="141"/>
      <c r="I335" s="79" t="s">
        <v>749</v>
      </c>
      <c r="J335" s="43" t="s">
        <v>476</v>
      </c>
      <c r="K335" s="16"/>
      <c r="L335" s="16"/>
      <c r="M335" s="77"/>
      <c r="N335" s="82" t="s">
        <v>749</v>
      </c>
      <c r="O335" s="181" t="s">
        <v>1171</v>
      </c>
      <c r="P335" s="28"/>
      <c r="Q335" s="28"/>
      <c r="R335" s="77"/>
    </row>
    <row r="336" spans="1:18" ht="17.25" customHeight="1" x14ac:dyDescent="0.2">
      <c r="A336" s="142" t="s">
        <v>21</v>
      </c>
      <c r="B336" s="16"/>
      <c r="C336" s="16"/>
      <c r="D336" s="16"/>
      <c r="E336" s="16"/>
      <c r="F336" s="16"/>
      <c r="G336" s="16"/>
      <c r="H336" s="141"/>
      <c r="I336" s="79"/>
      <c r="J336" s="16"/>
      <c r="K336" s="16"/>
      <c r="L336" s="16"/>
      <c r="M336" s="77"/>
      <c r="N336" s="79"/>
      <c r="O336" s="28"/>
      <c r="P336" s="28"/>
      <c r="Q336" s="28"/>
      <c r="R336" s="77"/>
    </row>
    <row r="337" spans="1:18" ht="17.25" customHeight="1" x14ac:dyDescent="0.2">
      <c r="A337" s="87" t="s">
        <v>885</v>
      </c>
      <c r="B337" s="16" t="s">
        <v>354</v>
      </c>
      <c r="C337" s="16"/>
      <c r="D337" s="16"/>
      <c r="E337" s="43" t="s">
        <v>16</v>
      </c>
      <c r="F337" s="16"/>
      <c r="G337" s="16"/>
      <c r="H337" s="141"/>
      <c r="I337" s="79" t="s">
        <v>750</v>
      </c>
      <c r="J337" s="16"/>
      <c r="K337" s="16"/>
      <c r="L337" s="16"/>
      <c r="M337" s="77"/>
      <c r="N337" s="82" t="s">
        <v>1166</v>
      </c>
      <c r="O337" s="28"/>
      <c r="P337" s="28"/>
      <c r="Q337" s="28"/>
      <c r="R337" s="77"/>
    </row>
    <row r="338" spans="1:18" ht="17.25" customHeight="1" x14ac:dyDescent="0.2">
      <c r="A338" s="79" t="s">
        <v>11</v>
      </c>
      <c r="B338" s="42" t="s">
        <v>899</v>
      </c>
      <c r="C338" s="16"/>
      <c r="D338" s="16"/>
      <c r="E338" s="43"/>
      <c r="F338" s="16"/>
      <c r="G338" s="42" t="s">
        <v>908</v>
      </c>
      <c r="H338" s="141"/>
      <c r="I338" s="79"/>
      <c r="J338" s="16"/>
      <c r="K338" s="16"/>
      <c r="L338" s="16"/>
      <c r="M338" s="77"/>
      <c r="N338" s="79"/>
      <c r="O338" s="28"/>
      <c r="P338" s="28"/>
      <c r="Q338" s="28"/>
      <c r="R338" s="77"/>
    </row>
    <row r="339" spans="1:18" ht="17.25" customHeight="1" x14ac:dyDescent="0.2">
      <c r="A339" s="79" t="s">
        <v>11</v>
      </c>
      <c r="B339" s="42" t="s">
        <v>900</v>
      </c>
      <c r="C339" s="16"/>
      <c r="D339" s="16"/>
      <c r="E339" s="43"/>
      <c r="F339" s="16"/>
      <c r="G339" s="42" t="s">
        <v>909</v>
      </c>
      <c r="H339" s="141"/>
      <c r="I339" s="79"/>
      <c r="J339" s="16"/>
      <c r="K339" s="16"/>
      <c r="L339" s="16"/>
      <c r="M339" s="77"/>
      <c r="N339" s="79"/>
      <c r="O339" s="28"/>
      <c r="P339" s="28"/>
      <c r="Q339" s="28"/>
      <c r="R339" s="77"/>
    </row>
    <row r="340" spans="1:18" ht="17.25" customHeight="1" x14ac:dyDescent="0.2">
      <c r="A340" s="79" t="s">
        <v>11</v>
      </c>
      <c r="B340" s="42" t="s">
        <v>901</v>
      </c>
      <c r="C340" s="16"/>
      <c r="D340" s="16"/>
      <c r="E340" s="43"/>
      <c r="F340" s="16"/>
      <c r="G340" s="42" t="s">
        <v>907</v>
      </c>
      <c r="H340" s="141"/>
      <c r="I340" s="79"/>
      <c r="J340" s="16"/>
      <c r="K340" s="16"/>
      <c r="L340" s="16"/>
      <c r="M340" s="77"/>
      <c r="N340" s="79"/>
      <c r="O340" s="28"/>
      <c r="P340" s="28"/>
      <c r="Q340" s="28"/>
      <c r="R340" s="77"/>
    </row>
    <row r="341" spans="1:18" ht="17.25" customHeight="1" x14ac:dyDescent="0.2">
      <c r="A341" s="142" t="s">
        <v>21</v>
      </c>
      <c r="B341" s="16"/>
      <c r="C341" s="16"/>
      <c r="D341" s="16"/>
      <c r="E341" s="16"/>
      <c r="F341" s="16"/>
      <c r="G341" s="16"/>
      <c r="H341" s="141"/>
      <c r="I341" s="79"/>
      <c r="J341" s="16"/>
      <c r="K341" s="16"/>
      <c r="L341" s="16"/>
      <c r="M341" s="77"/>
      <c r="N341" s="79"/>
      <c r="O341" s="28"/>
      <c r="P341" s="28"/>
      <c r="Q341" s="28"/>
      <c r="R341" s="77"/>
    </row>
    <row r="342" spans="1:18" ht="17.25" customHeight="1" x14ac:dyDescent="0.2">
      <c r="A342" s="142" t="s">
        <v>12</v>
      </c>
      <c r="B342" s="16" t="s">
        <v>399</v>
      </c>
      <c r="C342" s="16"/>
      <c r="D342" s="16"/>
      <c r="E342" s="16"/>
      <c r="F342" s="16"/>
      <c r="G342" s="16"/>
      <c r="H342" s="141"/>
      <c r="I342" s="78" t="s">
        <v>398</v>
      </c>
      <c r="J342" s="16"/>
      <c r="K342" s="16"/>
      <c r="L342" s="16"/>
      <c r="M342" s="77"/>
      <c r="N342" s="78" t="s">
        <v>398</v>
      </c>
      <c r="O342" s="28"/>
      <c r="P342" s="28"/>
      <c r="Q342" s="28"/>
      <c r="R342" s="77"/>
    </row>
    <row r="343" spans="1:18" ht="17.25" customHeight="1" x14ac:dyDescent="0.2">
      <c r="A343" s="87" t="s">
        <v>885</v>
      </c>
      <c r="B343" s="16" t="s">
        <v>355</v>
      </c>
      <c r="C343" s="16"/>
      <c r="D343" s="16"/>
      <c r="E343" s="43" t="s">
        <v>16</v>
      </c>
      <c r="F343" s="42" t="s">
        <v>334</v>
      </c>
      <c r="G343" s="16"/>
      <c r="H343" s="141"/>
      <c r="I343" s="79" t="s">
        <v>771</v>
      </c>
      <c r="J343" s="16"/>
      <c r="K343" s="16"/>
      <c r="L343" s="16"/>
      <c r="M343" s="77"/>
      <c r="N343" s="82" t="s">
        <v>1172</v>
      </c>
      <c r="O343" s="28"/>
      <c r="P343" s="28"/>
      <c r="Q343" s="28"/>
      <c r="R343" s="77"/>
    </row>
    <row r="344" spans="1:18" ht="17.25" customHeight="1" x14ac:dyDescent="0.2">
      <c r="A344" s="87" t="s">
        <v>13</v>
      </c>
      <c r="B344" s="16" t="s">
        <v>356</v>
      </c>
      <c r="C344" s="16"/>
      <c r="D344" s="43" t="s">
        <v>15</v>
      </c>
      <c r="E344" s="43" t="s">
        <v>16</v>
      </c>
      <c r="F344" s="42" t="s">
        <v>781</v>
      </c>
      <c r="G344" s="16" t="s">
        <v>807</v>
      </c>
      <c r="H344" s="141"/>
      <c r="I344" s="79" t="s">
        <v>751</v>
      </c>
      <c r="J344" s="43" t="s">
        <v>502</v>
      </c>
      <c r="K344" s="16"/>
      <c r="L344" s="16"/>
      <c r="M344" s="77"/>
      <c r="N344" s="82" t="s">
        <v>1173</v>
      </c>
      <c r="O344" s="181" t="s">
        <v>1178</v>
      </c>
      <c r="P344" s="28"/>
      <c r="Q344" s="28"/>
      <c r="R344" s="77"/>
    </row>
    <row r="345" spans="1:18" ht="17.25" customHeight="1" x14ac:dyDescent="0.2">
      <c r="A345" s="87" t="s">
        <v>13</v>
      </c>
      <c r="B345" s="16" t="s">
        <v>357</v>
      </c>
      <c r="C345" s="16"/>
      <c r="D345" s="43" t="s">
        <v>15</v>
      </c>
      <c r="E345" s="43" t="s">
        <v>16</v>
      </c>
      <c r="F345" s="42" t="s">
        <v>781</v>
      </c>
      <c r="G345" s="16" t="s">
        <v>807</v>
      </c>
      <c r="H345" s="141"/>
      <c r="I345" s="79" t="s">
        <v>752</v>
      </c>
      <c r="J345" s="43" t="s">
        <v>502</v>
      </c>
      <c r="K345" s="16"/>
      <c r="L345" s="16"/>
      <c r="M345" s="77"/>
      <c r="N345" s="82" t="s">
        <v>1174</v>
      </c>
      <c r="O345" s="181" t="s">
        <v>1178</v>
      </c>
      <c r="P345" s="28"/>
      <c r="Q345" s="28"/>
      <c r="R345" s="77"/>
    </row>
    <row r="346" spans="1:18" ht="17.25" customHeight="1" x14ac:dyDescent="0.2">
      <c r="A346" s="87" t="s">
        <v>13</v>
      </c>
      <c r="B346" s="16" t="s">
        <v>358</v>
      </c>
      <c r="C346" s="16"/>
      <c r="D346" s="43" t="s">
        <v>15</v>
      </c>
      <c r="E346" s="43" t="s">
        <v>16</v>
      </c>
      <c r="F346" s="42" t="s">
        <v>781</v>
      </c>
      <c r="G346" s="16" t="s">
        <v>807</v>
      </c>
      <c r="H346" s="141"/>
      <c r="I346" s="79" t="s">
        <v>753</v>
      </c>
      <c r="J346" s="43" t="s">
        <v>502</v>
      </c>
      <c r="K346" s="16"/>
      <c r="L346" s="16"/>
      <c r="M346" s="77"/>
      <c r="N346" s="82" t="s">
        <v>1175</v>
      </c>
      <c r="O346" s="181" t="s">
        <v>1178</v>
      </c>
      <c r="P346" s="28"/>
      <c r="Q346" s="28"/>
      <c r="R346" s="77"/>
    </row>
    <row r="347" spans="1:18" ht="17.25" customHeight="1" x14ac:dyDescent="0.2">
      <c r="A347" s="87" t="s">
        <v>359</v>
      </c>
      <c r="B347" s="16" t="s">
        <v>360</v>
      </c>
      <c r="C347" s="16"/>
      <c r="D347" s="43" t="s">
        <v>774</v>
      </c>
      <c r="E347" s="43" t="s">
        <v>16</v>
      </c>
      <c r="F347" s="42" t="s">
        <v>781</v>
      </c>
      <c r="G347" s="16"/>
      <c r="H347" s="141"/>
      <c r="I347" s="79" t="s">
        <v>754</v>
      </c>
      <c r="J347" s="43" t="s">
        <v>464</v>
      </c>
      <c r="K347" s="42" t="s">
        <v>775</v>
      </c>
      <c r="L347" s="16"/>
      <c r="M347" s="77"/>
      <c r="N347" s="82" t="s">
        <v>1176</v>
      </c>
      <c r="O347" s="181" t="s">
        <v>1179</v>
      </c>
      <c r="P347" s="185" t="s">
        <v>1168</v>
      </c>
      <c r="Q347" s="28"/>
      <c r="R347" s="77"/>
    </row>
    <row r="348" spans="1:18" ht="17.25" customHeight="1" x14ac:dyDescent="0.2">
      <c r="A348" s="87" t="s">
        <v>359</v>
      </c>
      <c r="B348" s="16" t="s">
        <v>361</v>
      </c>
      <c r="C348" s="16"/>
      <c r="D348" s="43" t="s">
        <v>772</v>
      </c>
      <c r="E348" s="43" t="s">
        <v>16</v>
      </c>
      <c r="F348" s="42" t="s">
        <v>781</v>
      </c>
      <c r="G348" s="16"/>
      <c r="H348" s="141"/>
      <c r="I348" s="79" t="s">
        <v>755</v>
      </c>
      <c r="J348" s="43" t="s">
        <v>465</v>
      </c>
      <c r="K348" s="42" t="s">
        <v>773</v>
      </c>
      <c r="L348" s="16"/>
      <c r="M348" s="77"/>
      <c r="N348" s="82" t="s">
        <v>1177</v>
      </c>
      <c r="O348" s="181" t="s">
        <v>1180</v>
      </c>
      <c r="P348" s="171" t="s">
        <v>1186</v>
      </c>
      <c r="Q348" s="28"/>
      <c r="R348" s="77"/>
    </row>
    <row r="349" spans="1:18" ht="17.25" customHeight="1" x14ac:dyDescent="0.2">
      <c r="A349" s="79" t="s">
        <v>11</v>
      </c>
      <c r="B349" s="42" t="s">
        <v>905</v>
      </c>
      <c r="C349" s="16"/>
      <c r="D349" s="43"/>
      <c r="E349" s="43"/>
      <c r="F349" s="42" t="s">
        <v>906</v>
      </c>
      <c r="G349" s="42" t="s">
        <v>910</v>
      </c>
      <c r="H349" s="141"/>
      <c r="I349" s="79"/>
      <c r="J349" s="43"/>
      <c r="K349" s="42"/>
      <c r="L349" s="16"/>
      <c r="M349" s="77"/>
      <c r="N349" s="79"/>
      <c r="O349" s="28"/>
      <c r="P349" s="171"/>
      <c r="Q349" s="28"/>
      <c r="R349" s="77"/>
    </row>
    <row r="350" spans="1:18" ht="17.25" customHeight="1" x14ac:dyDescent="0.2">
      <c r="A350" s="142" t="s">
        <v>21</v>
      </c>
      <c r="B350" s="16"/>
      <c r="C350" s="16"/>
      <c r="D350" s="43"/>
      <c r="E350" s="16"/>
      <c r="F350" s="16"/>
      <c r="G350" s="16"/>
      <c r="H350" s="141"/>
      <c r="I350" s="79"/>
      <c r="J350" s="16"/>
      <c r="K350" s="16"/>
      <c r="L350" s="16"/>
      <c r="M350" s="77"/>
      <c r="N350" s="79"/>
      <c r="O350" s="28"/>
      <c r="P350" s="28"/>
      <c r="Q350" s="28"/>
      <c r="R350" s="77"/>
    </row>
    <row r="351" spans="1:18" ht="17.25" customHeight="1" x14ac:dyDescent="0.2">
      <c r="A351" s="142" t="s">
        <v>12</v>
      </c>
      <c r="B351" s="16" t="s">
        <v>397</v>
      </c>
      <c r="C351" s="16"/>
      <c r="D351" s="43"/>
      <c r="E351" s="16"/>
      <c r="F351" s="42" t="s">
        <v>781</v>
      </c>
      <c r="G351" s="16"/>
      <c r="H351" s="141"/>
      <c r="I351" s="78" t="s">
        <v>396</v>
      </c>
      <c r="J351" s="16"/>
      <c r="K351" s="16"/>
      <c r="L351" s="16"/>
      <c r="M351" s="77"/>
      <c r="N351" s="78" t="s">
        <v>396</v>
      </c>
      <c r="O351" s="28"/>
      <c r="P351" s="28"/>
      <c r="Q351" s="28"/>
      <c r="R351" s="77"/>
    </row>
    <row r="352" spans="1:18" ht="17.25" customHeight="1" x14ac:dyDescent="0.2">
      <c r="A352" s="87" t="s">
        <v>13</v>
      </c>
      <c r="B352" s="16" t="s">
        <v>362</v>
      </c>
      <c r="C352" s="16"/>
      <c r="D352" s="43" t="s">
        <v>15</v>
      </c>
      <c r="E352" s="43" t="s">
        <v>16</v>
      </c>
      <c r="F352" s="16"/>
      <c r="G352" s="16" t="s">
        <v>807</v>
      </c>
      <c r="H352" s="141"/>
      <c r="I352" s="79" t="s">
        <v>756</v>
      </c>
      <c r="J352" s="43" t="s">
        <v>502</v>
      </c>
      <c r="K352" s="16"/>
      <c r="L352" s="16"/>
      <c r="M352" s="77"/>
      <c r="N352" s="82" t="s">
        <v>1181</v>
      </c>
      <c r="O352" s="181" t="s">
        <v>1178</v>
      </c>
      <c r="P352" s="28"/>
      <c r="Q352" s="28"/>
      <c r="R352" s="77"/>
    </row>
    <row r="353" spans="1:18" ht="17.25" customHeight="1" x14ac:dyDescent="0.2">
      <c r="A353" s="87" t="s">
        <v>359</v>
      </c>
      <c r="B353" s="16" t="s">
        <v>363</v>
      </c>
      <c r="C353" s="16"/>
      <c r="D353" s="43" t="s">
        <v>776</v>
      </c>
      <c r="E353" s="43" t="s">
        <v>16</v>
      </c>
      <c r="F353" s="16"/>
      <c r="G353" s="16"/>
      <c r="H353" s="141"/>
      <c r="I353" s="79" t="s">
        <v>757</v>
      </c>
      <c r="J353" s="43" t="s">
        <v>466</v>
      </c>
      <c r="K353" s="42" t="s">
        <v>775</v>
      </c>
      <c r="L353" s="16"/>
      <c r="M353" s="77"/>
      <c r="N353" s="82" t="s">
        <v>1182</v>
      </c>
      <c r="O353" s="181" t="s">
        <v>1185</v>
      </c>
      <c r="P353" s="181" t="s">
        <v>1168</v>
      </c>
      <c r="Q353" s="28"/>
      <c r="R353" s="77"/>
    </row>
    <row r="354" spans="1:18" ht="17.25" customHeight="1" x14ac:dyDescent="0.2">
      <c r="A354" s="142" t="s">
        <v>21</v>
      </c>
      <c r="B354" s="16"/>
      <c r="C354" s="16"/>
      <c r="D354" s="43"/>
      <c r="E354" s="16"/>
      <c r="F354" s="16"/>
      <c r="G354" s="16"/>
      <c r="H354" s="141"/>
      <c r="I354" s="79"/>
      <c r="J354" s="16"/>
      <c r="K354" s="16"/>
      <c r="L354" s="16"/>
      <c r="M354" s="77"/>
      <c r="N354" s="79"/>
      <c r="O354" s="28"/>
      <c r="P354" s="28"/>
      <c r="Q354" s="28"/>
      <c r="R354" s="77"/>
    </row>
    <row r="355" spans="1:18" ht="17.25" customHeight="1" x14ac:dyDescent="0.2">
      <c r="A355" s="142" t="s">
        <v>12</v>
      </c>
      <c r="B355" s="16" t="s">
        <v>402</v>
      </c>
      <c r="C355" s="16"/>
      <c r="D355" s="43"/>
      <c r="E355" s="16"/>
      <c r="F355" s="42" t="s">
        <v>781</v>
      </c>
      <c r="G355" s="16"/>
      <c r="H355" s="141"/>
      <c r="I355" s="78" t="s">
        <v>403</v>
      </c>
      <c r="J355" s="16"/>
      <c r="K355" s="16"/>
      <c r="L355" s="16"/>
      <c r="M355" s="77"/>
      <c r="N355" s="78" t="s">
        <v>403</v>
      </c>
      <c r="O355" s="28"/>
      <c r="P355" s="28"/>
      <c r="Q355" s="28"/>
      <c r="R355" s="77"/>
    </row>
    <row r="356" spans="1:18" ht="17.25" customHeight="1" x14ac:dyDescent="0.2">
      <c r="A356" s="87" t="s">
        <v>359</v>
      </c>
      <c r="B356" s="16" t="s">
        <v>364</v>
      </c>
      <c r="C356" s="16"/>
      <c r="D356" s="43" t="s">
        <v>777</v>
      </c>
      <c r="E356" s="43" t="s">
        <v>16</v>
      </c>
      <c r="F356" s="16"/>
      <c r="G356" s="16"/>
      <c r="H356" s="141"/>
      <c r="I356" s="79" t="s">
        <v>758</v>
      </c>
      <c r="J356" s="43" t="s">
        <v>467</v>
      </c>
      <c r="K356" s="42" t="s">
        <v>775</v>
      </c>
      <c r="L356" s="16"/>
      <c r="M356" s="77"/>
      <c r="N356" s="82" t="s">
        <v>1183</v>
      </c>
      <c r="O356" s="181" t="s">
        <v>1184</v>
      </c>
      <c r="P356" s="181" t="s">
        <v>1168</v>
      </c>
      <c r="Q356" s="28"/>
      <c r="R356" s="77"/>
    </row>
    <row r="357" spans="1:18" ht="17.25" customHeight="1" x14ac:dyDescent="0.2">
      <c r="A357" s="142" t="s">
        <v>21</v>
      </c>
      <c r="B357" s="16"/>
      <c r="C357" s="16"/>
      <c r="D357" s="16"/>
      <c r="E357" s="16"/>
      <c r="F357" s="16"/>
      <c r="G357" s="16"/>
      <c r="H357" s="141"/>
      <c r="I357" s="79"/>
      <c r="J357" s="16"/>
      <c r="K357" s="16"/>
      <c r="L357" s="16"/>
      <c r="M357" s="77"/>
      <c r="N357" s="87"/>
      <c r="O357" s="28"/>
      <c r="P357" s="28"/>
      <c r="Q357" s="28"/>
      <c r="R357" s="77"/>
    </row>
    <row r="358" spans="1:18" ht="17.25" customHeight="1" x14ac:dyDescent="0.2">
      <c r="A358" s="164" t="s">
        <v>11</v>
      </c>
      <c r="B358" s="165" t="s">
        <v>856</v>
      </c>
      <c r="C358" s="166"/>
      <c r="D358" s="166"/>
      <c r="E358" s="166"/>
      <c r="F358" s="166"/>
      <c r="G358" s="165" t="s">
        <v>877</v>
      </c>
      <c r="H358" s="165"/>
      <c r="I358" s="79"/>
      <c r="J358" s="16"/>
      <c r="K358" s="16"/>
      <c r="L358" s="16"/>
      <c r="M358" s="77"/>
      <c r="N358" s="87"/>
      <c r="O358" s="28"/>
      <c r="P358" s="28"/>
      <c r="Q358" s="28"/>
      <c r="R358" s="77"/>
    </row>
    <row r="359" spans="1:18" ht="17.25" customHeight="1" x14ac:dyDescent="0.2">
      <c r="A359" s="164" t="s">
        <v>11</v>
      </c>
      <c r="B359" s="165" t="s">
        <v>872</v>
      </c>
      <c r="C359" s="166"/>
      <c r="D359" s="166"/>
      <c r="E359" s="166"/>
      <c r="F359" s="166"/>
      <c r="G359" s="165" t="s">
        <v>873</v>
      </c>
      <c r="H359" s="165"/>
      <c r="I359" s="79"/>
      <c r="J359" s="16"/>
      <c r="K359" s="16"/>
      <c r="L359" s="16"/>
      <c r="M359" s="77"/>
      <c r="N359" s="87"/>
      <c r="O359" s="28"/>
      <c r="P359" s="28"/>
      <c r="Q359" s="28"/>
      <c r="R359" s="77"/>
    </row>
    <row r="360" spans="1:18" ht="17.25" customHeight="1" x14ac:dyDescent="0.2">
      <c r="A360" s="164" t="s">
        <v>11</v>
      </c>
      <c r="B360" s="167" t="s">
        <v>857</v>
      </c>
      <c r="C360" s="167"/>
      <c r="D360" s="167"/>
      <c r="E360" s="167"/>
      <c r="F360" s="167"/>
      <c r="G360" s="167" t="s">
        <v>863</v>
      </c>
      <c r="H360" s="168"/>
      <c r="I360" s="172"/>
      <c r="J360" s="167"/>
      <c r="K360" s="167"/>
      <c r="L360" s="167"/>
      <c r="M360" s="168"/>
      <c r="N360" s="44"/>
      <c r="O360" s="31"/>
      <c r="P360" s="31"/>
      <c r="Q360" s="31"/>
      <c r="R360" s="55"/>
    </row>
    <row r="361" spans="1:18" ht="17.25" customHeight="1" x14ac:dyDescent="0.2">
      <c r="A361" s="164" t="s">
        <v>82</v>
      </c>
      <c r="B361" s="167" t="s">
        <v>859</v>
      </c>
      <c r="C361" s="167"/>
      <c r="D361" s="167"/>
      <c r="E361" s="167"/>
      <c r="F361" s="167" t="s">
        <v>865</v>
      </c>
      <c r="G361" s="167"/>
      <c r="H361" s="168"/>
      <c r="I361" s="169" t="s">
        <v>897</v>
      </c>
      <c r="J361" s="167"/>
      <c r="K361" s="167"/>
      <c r="L361" s="167"/>
      <c r="M361" s="168"/>
      <c r="N361" s="170" t="s">
        <v>897</v>
      </c>
      <c r="O361" s="31"/>
      <c r="P361" s="31"/>
      <c r="Q361" s="31"/>
      <c r="R361" s="55"/>
    </row>
    <row r="362" spans="1:18" ht="17.25" customHeight="1" x14ac:dyDescent="0.2">
      <c r="A362" s="140" t="s">
        <v>21</v>
      </c>
      <c r="B362" s="16"/>
      <c r="C362" s="16"/>
      <c r="D362" s="16"/>
      <c r="E362" s="16"/>
      <c r="F362" s="16"/>
      <c r="G362" s="16"/>
      <c r="H362" s="141"/>
      <c r="I362" s="79"/>
      <c r="J362" s="16"/>
      <c r="K362" s="16"/>
      <c r="L362" s="16"/>
      <c r="M362" s="77"/>
      <c r="N362" s="87"/>
      <c r="O362" s="28"/>
      <c r="P362" s="28"/>
      <c r="Q362" s="28"/>
      <c r="R362" s="77"/>
    </row>
    <row r="363" spans="1:18" ht="17.25" customHeight="1" x14ac:dyDescent="0.2">
      <c r="A363" s="121"/>
      <c r="B363" s="13"/>
      <c r="C363" s="13"/>
      <c r="D363" s="13"/>
      <c r="E363" s="13"/>
      <c r="F363" s="13"/>
      <c r="G363" s="13"/>
      <c r="H363" s="131"/>
      <c r="I363" s="80"/>
      <c r="J363" s="13"/>
      <c r="K363" s="13"/>
      <c r="L363" s="13"/>
      <c r="M363" s="49"/>
      <c r="N363" s="68"/>
      <c r="O363" s="13"/>
      <c r="P363" s="13"/>
      <c r="Q363" s="13"/>
      <c r="R363" s="49"/>
    </row>
    <row r="364" spans="1:18" ht="17.25" customHeight="1" x14ac:dyDescent="0.2">
      <c r="A364" s="119" t="s">
        <v>12</v>
      </c>
      <c r="B364" s="31" t="s">
        <v>785</v>
      </c>
      <c r="C364" s="31"/>
      <c r="D364" s="31"/>
      <c r="E364" s="31"/>
      <c r="F364" s="31"/>
      <c r="G364" s="31"/>
      <c r="H364" s="55" t="s">
        <v>73</v>
      </c>
      <c r="I364" s="81" t="s">
        <v>786</v>
      </c>
      <c r="J364" s="31"/>
      <c r="K364" s="31"/>
      <c r="L364" s="31"/>
      <c r="M364" s="55"/>
      <c r="N364" s="81" t="s">
        <v>786</v>
      </c>
      <c r="O364" s="31"/>
      <c r="P364" s="31"/>
      <c r="Q364" s="31"/>
      <c r="R364" s="55"/>
    </row>
    <row r="365" spans="1:18" ht="17.25" customHeight="1" x14ac:dyDescent="0.2">
      <c r="A365" s="44" t="s">
        <v>778</v>
      </c>
      <c r="B365" s="31" t="s">
        <v>778</v>
      </c>
      <c r="C365" s="31"/>
      <c r="D365" s="31"/>
      <c r="E365" s="31"/>
      <c r="F365" s="31"/>
      <c r="G365" s="31"/>
      <c r="H365" s="55"/>
      <c r="I365" s="44" t="s">
        <v>779</v>
      </c>
      <c r="J365" s="31"/>
      <c r="K365" s="31" t="s">
        <v>787</v>
      </c>
      <c r="L365" s="31"/>
      <c r="M365" s="55"/>
      <c r="N365" s="184" t="s">
        <v>1099</v>
      </c>
      <c r="O365" s="18"/>
      <c r="P365" s="181" t="s">
        <v>1100</v>
      </c>
      <c r="Q365" s="31"/>
      <c r="R365" s="55"/>
    </row>
    <row r="366" spans="1:18" ht="17.25" customHeight="1" x14ac:dyDescent="0.2">
      <c r="A366" s="119" t="s">
        <v>21</v>
      </c>
      <c r="B366" s="31"/>
      <c r="C366" s="31"/>
      <c r="D366" s="31"/>
      <c r="E366" s="31"/>
      <c r="F366" s="31"/>
      <c r="G366" s="31"/>
      <c r="H366" s="55"/>
      <c r="I366" s="102"/>
      <c r="J366" s="31"/>
      <c r="K366" s="31"/>
      <c r="L366" s="31"/>
      <c r="M366" s="55"/>
      <c r="N366" s="44"/>
      <c r="O366" s="31"/>
      <c r="P366" s="31"/>
      <c r="Q366" s="31"/>
      <c r="R366" s="55"/>
    </row>
    <row r="367" spans="1:18" ht="17.25" customHeight="1" x14ac:dyDescent="0.2">
      <c r="A367" s="119" t="s">
        <v>12</v>
      </c>
      <c r="B367" s="31" t="s">
        <v>858</v>
      </c>
      <c r="C367" s="31"/>
      <c r="D367" s="31"/>
      <c r="E367" s="31"/>
      <c r="F367" s="31"/>
      <c r="G367" s="31"/>
      <c r="H367" s="55"/>
      <c r="I367" s="102"/>
      <c r="J367" s="31"/>
      <c r="K367" s="31"/>
      <c r="L367" s="31"/>
      <c r="M367" s="55"/>
      <c r="N367" s="44"/>
      <c r="O367" s="31"/>
      <c r="P367" s="31"/>
      <c r="Q367" s="31"/>
      <c r="R367" s="55"/>
    </row>
    <row r="368" spans="1:18" ht="17.25" customHeight="1" x14ac:dyDescent="0.2">
      <c r="A368" s="44" t="s">
        <v>82</v>
      </c>
      <c r="B368" s="31" t="s">
        <v>788</v>
      </c>
      <c r="C368" s="31"/>
      <c r="D368" s="31"/>
      <c r="E368" s="31"/>
      <c r="F368" s="31" t="s">
        <v>789</v>
      </c>
      <c r="G368" s="31"/>
      <c r="H368" s="55"/>
      <c r="I368" s="82" t="s">
        <v>790</v>
      </c>
      <c r="J368" s="31"/>
      <c r="K368" s="31"/>
      <c r="L368" s="31"/>
      <c r="M368" s="55"/>
      <c r="N368" s="82" t="s">
        <v>1101</v>
      </c>
      <c r="O368" s="31"/>
      <c r="P368" s="31"/>
      <c r="Q368" s="31"/>
      <c r="R368" s="55"/>
    </row>
    <row r="369" spans="1:18" ht="17.25" customHeight="1" x14ac:dyDescent="0.2">
      <c r="A369" s="59" t="s">
        <v>82</v>
      </c>
      <c r="B369" s="34" t="s">
        <v>898</v>
      </c>
      <c r="C369" s="34"/>
      <c r="D369" s="34"/>
      <c r="E369" s="34"/>
      <c r="F369" s="34" t="s">
        <v>423</v>
      </c>
      <c r="G369" s="34"/>
      <c r="H369" s="58"/>
      <c r="I369" s="179" t="s">
        <v>913</v>
      </c>
      <c r="J369" s="34"/>
      <c r="K369" s="34"/>
      <c r="L369" s="34"/>
      <c r="M369" s="58"/>
      <c r="N369" s="170" t="s">
        <v>913</v>
      </c>
      <c r="O369" s="34"/>
      <c r="P369" s="34"/>
      <c r="Q369" s="34"/>
      <c r="R369" s="58"/>
    </row>
    <row r="370" spans="1:18" ht="17.25" customHeight="1" thickBot="1" x14ac:dyDescent="0.25">
      <c r="A370" s="143" t="s">
        <v>21</v>
      </c>
      <c r="B370" s="144"/>
      <c r="C370" s="144"/>
      <c r="D370" s="144"/>
      <c r="E370" s="144"/>
      <c r="F370" s="144"/>
      <c r="G370" s="144"/>
      <c r="H370" s="145"/>
      <c r="I370" s="146"/>
      <c r="J370" s="144"/>
      <c r="K370" s="144"/>
      <c r="L370" s="144"/>
      <c r="M370" s="145"/>
      <c r="N370" s="147"/>
      <c r="O370" s="144"/>
      <c r="P370" s="144"/>
      <c r="Q370" s="144"/>
      <c r="R370" s="145"/>
    </row>
  </sheetData>
  <conditionalFormatting sqref="A1:A1048576">
    <cfRule type="expression" dxfId="12" priority="1">
      <formula>COUNTIF(A:A,"begin group")-COUNTIF(A:A,"end group")&lt;&gt;0</formula>
    </cfRule>
    <cfRule type="cellIs" dxfId="11" priority="53" operator="equal">
      <formula>"begin group"</formula>
    </cfRule>
    <cfRule type="cellIs" dxfId="10" priority="54" operator="equal">
      <formula>"end group"</formula>
    </cfRule>
  </conditionalFormatting>
  <conditionalFormatting sqref="D164">
    <cfRule type="cellIs" dxfId="9" priority="45" operator="equal">
      <formula>"begin group"</formula>
    </cfRule>
    <cfRule type="cellIs" dxfId="8" priority="46" operator="equal">
      <formula>"end group"</formula>
    </cfRule>
  </conditionalFormatting>
  <conditionalFormatting sqref="D169">
    <cfRule type="cellIs" dxfId="7" priority="39" operator="equal">
      <formula>"begin group"</formula>
    </cfRule>
    <cfRule type="cellIs" dxfId="6" priority="40" operator="equal">
      <formula>"end group"</formula>
    </cfRule>
  </conditionalFormatting>
  <conditionalFormatting sqref="F126">
    <cfRule type="cellIs" dxfId="5" priority="51" operator="equal">
      <formula>"begin group"</formula>
    </cfRule>
    <cfRule type="cellIs" dxfId="4" priority="52" operator="equal">
      <formula>"end group"</formula>
    </cfRule>
  </conditionalFormatting>
  <conditionalFormatting sqref="F165">
    <cfRule type="cellIs" dxfId="3" priority="43" operator="equal">
      <formula>"begin group"</formula>
    </cfRule>
    <cfRule type="cellIs" dxfId="2" priority="44" operator="equal">
      <formula>"end group"</formula>
    </cfRule>
  </conditionalFormatting>
  <conditionalFormatting sqref="F170">
    <cfRule type="cellIs" dxfId="1" priority="41" operator="equal">
      <formula>"begin group"</formula>
    </cfRule>
    <cfRule type="cellIs" dxfId="0" priority="42" operator="equal">
      <formula>"end group"</formula>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8"/>
  <sheetViews>
    <sheetView workbookViewId="0">
      <pane ySplit="1" topLeftCell="A2" activePane="bottomLeft" state="frozen"/>
      <selection pane="bottomLeft" activeCell="C45" sqref="C45"/>
    </sheetView>
  </sheetViews>
  <sheetFormatPr defaultColWidth="17.28515625" defaultRowHeight="15" customHeight="1" x14ac:dyDescent="0.2"/>
  <cols>
    <col min="1" max="1" width="18.42578125" customWidth="1"/>
    <col min="2" max="2" width="11.7109375" style="2" bestFit="1" customWidth="1"/>
    <col min="3" max="3" width="31" customWidth="1"/>
  </cols>
  <sheetData>
    <row r="1" spans="1:3" ht="19.5" customHeight="1" x14ac:dyDescent="0.2">
      <c r="A1" s="153" t="s">
        <v>30</v>
      </c>
      <c r="B1" s="152" t="s">
        <v>1</v>
      </c>
      <c r="C1" s="153" t="s">
        <v>370</v>
      </c>
    </row>
    <row r="2" spans="1:3" x14ac:dyDescent="0.2">
      <c r="A2" s="2"/>
      <c r="B2" s="3"/>
      <c r="C2" s="2"/>
    </row>
    <row r="3" spans="1:3" ht="19.5" customHeight="1" x14ac:dyDescent="0.2">
      <c r="A3" s="2" t="s">
        <v>886</v>
      </c>
      <c r="B3" s="2">
        <v>1</v>
      </c>
      <c r="C3" s="2" t="s">
        <v>35</v>
      </c>
    </row>
    <row r="4" spans="1:3" ht="15.75" customHeight="1" x14ac:dyDescent="0.2">
      <c r="A4" s="2" t="s">
        <v>886</v>
      </c>
      <c r="B4" s="2">
        <v>2</v>
      </c>
      <c r="C4" s="2" t="s">
        <v>36</v>
      </c>
    </row>
    <row r="5" spans="1:3" x14ac:dyDescent="0.2">
      <c r="A5" s="2"/>
      <c r="B5" s="3"/>
      <c r="C5" s="2"/>
    </row>
    <row r="6" spans="1:3" x14ac:dyDescent="0.2">
      <c r="A6" s="2" t="s">
        <v>881</v>
      </c>
      <c r="B6" s="2">
        <v>1</v>
      </c>
      <c r="C6" s="2" t="s">
        <v>35</v>
      </c>
    </row>
    <row r="7" spans="1:3" x14ac:dyDescent="0.2">
      <c r="A7" s="2" t="s">
        <v>881</v>
      </c>
      <c r="B7" s="2">
        <v>2</v>
      </c>
      <c r="C7" s="2" t="s">
        <v>36</v>
      </c>
    </row>
    <row r="8" spans="1:3" x14ac:dyDescent="0.2">
      <c r="A8" s="2" t="s">
        <v>881</v>
      </c>
      <c r="B8" s="2">
        <v>77</v>
      </c>
      <c r="C8" s="2" t="s">
        <v>74</v>
      </c>
    </row>
    <row r="9" spans="1:3" x14ac:dyDescent="0.2">
      <c r="A9" s="2"/>
      <c r="C9" s="2"/>
    </row>
    <row r="10" spans="1:3" x14ac:dyDescent="0.2">
      <c r="A10" s="2" t="s">
        <v>878</v>
      </c>
      <c r="B10" s="2">
        <v>1</v>
      </c>
      <c r="C10" s="2" t="s">
        <v>35</v>
      </c>
    </row>
    <row r="11" spans="1:3" x14ac:dyDescent="0.2">
      <c r="A11" s="2" t="s">
        <v>878</v>
      </c>
      <c r="B11" s="2">
        <v>2</v>
      </c>
      <c r="C11" s="2" t="s">
        <v>36</v>
      </c>
    </row>
    <row r="12" spans="1:3" x14ac:dyDescent="0.2">
      <c r="A12" s="2" t="s">
        <v>878</v>
      </c>
      <c r="B12" s="2">
        <v>77</v>
      </c>
      <c r="C12" s="2" t="s">
        <v>74</v>
      </c>
    </row>
    <row r="13" spans="1:3" x14ac:dyDescent="0.2">
      <c r="A13" s="2" t="s">
        <v>878</v>
      </c>
      <c r="B13" s="2">
        <v>88</v>
      </c>
      <c r="C13" s="2" t="s">
        <v>49</v>
      </c>
    </row>
    <row r="14" spans="1:3" x14ac:dyDescent="0.2">
      <c r="A14" s="2"/>
      <c r="C14" s="2"/>
    </row>
    <row r="15" spans="1:3" x14ac:dyDescent="0.2">
      <c r="A15" s="2" t="s">
        <v>879</v>
      </c>
      <c r="B15" s="2">
        <v>1</v>
      </c>
      <c r="C15" s="2" t="s">
        <v>35</v>
      </c>
    </row>
    <row r="16" spans="1:3" x14ac:dyDescent="0.2">
      <c r="A16" s="2" t="s">
        <v>879</v>
      </c>
      <c r="B16" s="2">
        <v>2</v>
      </c>
      <c r="C16" s="2" t="s">
        <v>36</v>
      </c>
    </row>
    <row r="17" spans="1:3" x14ac:dyDescent="0.2">
      <c r="A17" s="2" t="s">
        <v>879</v>
      </c>
      <c r="B17" s="2">
        <v>88</v>
      </c>
      <c r="C17" s="2" t="s">
        <v>49</v>
      </c>
    </row>
    <row r="18" spans="1:3" x14ac:dyDescent="0.2">
      <c r="A18" s="2"/>
      <c r="C18" s="2"/>
    </row>
    <row r="19" spans="1:3" x14ac:dyDescent="0.2">
      <c r="A19" s="2" t="s">
        <v>882</v>
      </c>
      <c r="B19" s="2">
        <v>1</v>
      </c>
      <c r="C19" s="2" t="s">
        <v>35</v>
      </c>
    </row>
    <row r="20" spans="1:3" x14ac:dyDescent="0.2">
      <c r="A20" s="2" t="s">
        <v>882</v>
      </c>
      <c r="B20" s="2">
        <v>2</v>
      </c>
      <c r="C20" s="2" t="s">
        <v>36</v>
      </c>
    </row>
    <row r="21" spans="1:3" x14ac:dyDescent="0.2">
      <c r="A21" s="2" t="s">
        <v>882</v>
      </c>
      <c r="B21" s="2">
        <v>77</v>
      </c>
      <c r="C21" s="2" t="s">
        <v>875</v>
      </c>
    </row>
    <row r="22" spans="1:3" x14ac:dyDescent="0.2">
      <c r="A22" s="2" t="s">
        <v>882</v>
      </c>
      <c r="B22" s="2">
        <v>88</v>
      </c>
      <c r="C22" s="2" t="s">
        <v>49</v>
      </c>
    </row>
    <row r="23" spans="1:3" x14ac:dyDescent="0.2">
      <c r="A23" s="2"/>
      <c r="B23" s="3"/>
      <c r="C23" s="2"/>
    </row>
    <row r="24" spans="1:3" x14ac:dyDescent="0.2">
      <c r="A24" s="2" t="s">
        <v>884</v>
      </c>
      <c r="B24" s="2">
        <v>1</v>
      </c>
      <c r="C24" s="2" t="s">
        <v>35</v>
      </c>
    </row>
    <row r="25" spans="1:3" x14ac:dyDescent="0.2">
      <c r="A25" s="2" t="s">
        <v>884</v>
      </c>
      <c r="B25" s="2">
        <v>2</v>
      </c>
      <c r="C25" s="2" t="s">
        <v>36</v>
      </c>
    </row>
    <row r="26" spans="1:3" x14ac:dyDescent="0.2">
      <c r="A26" s="2" t="s">
        <v>884</v>
      </c>
      <c r="B26" s="2">
        <v>3</v>
      </c>
      <c r="C26" s="2" t="s">
        <v>111</v>
      </c>
    </row>
    <row r="27" spans="1:3" x14ac:dyDescent="0.2">
      <c r="A27" s="2"/>
      <c r="B27" s="3"/>
      <c r="C27" s="2"/>
    </row>
    <row r="28" spans="1:3" ht="15.75" customHeight="1" x14ac:dyDescent="0.2">
      <c r="A28" s="2" t="s">
        <v>37</v>
      </c>
      <c r="B28" s="2">
        <v>1</v>
      </c>
      <c r="C28" s="2" t="s">
        <v>38</v>
      </c>
    </row>
    <row r="29" spans="1:3" ht="15.75" customHeight="1" x14ac:dyDescent="0.2">
      <c r="A29" s="2" t="s">
        <v>37</v>
      </c>
      <c r="B29" s="2">
        <v>2</v>
      </c>
      <c r="C29" s="2" t="s">
        <v>1187</v>
      </c>
    </row>
    <row r="30" spans="1:3" ht="15.75" customHeight="1" x14ac:dyDescent="0.2">
      <c r="A30" s="2"/>
      <c r="B30" s="3"/>
      <c r="C30" s="2"/>
    </row>
    <row r="31" spans="1:3" ht="15.75" customHeight="1" x14ac:dyDescent="0.2">
      <c r="A31" s="2" t="s">
        <v>888</v>
      </c>
      <c r="B31" s="2">
        <v>1</v>
      </c>
      <c r="C31" s="2" t="s">
        <v>39</v>
      </c>
    </row>
    <row r="32" spans="1:3" ht="15.75" customHeight="1" x14ac:dyDescent="0.2">
      <c r="A32" s="2" t="s">
        <v>888</v>
      </c>
      <c r="B32" s="2">
        <v>2</v>
      </c>
      <c r="C32" s="2" t="s">
        <v>40</v>
      </c>
    </row>
    <row r="33" spans="1:3" x14ac:dyDescent="0.2">
      <c r="A33" s="2"/>
      <c r="C33" s="2"/>
    </row>
    <row r="34" spans="1:3" ht="15.75" customHeight="1" x14ac:dyDescent="0.2">
      <c r="A34" s="2" t="s">
        <v>41</v>
      </c>
      <c r="B34" s="2">
        <v>1</v>
      </c>
      <c r="C34" s="2" t="s">
        <v>42</v>
      </c>
    </row>
    <row r="35" spans="1:3" ht="15.75" customHeight="1" x14ac:dyDescent="0.2">
      <c r="A35" s="2" t="s">
        <v>41</v>
      </c>
      <c r="B35" s="2">
        <v>2</v>
      </c>
      <c r="C35" s="2" t="s">
        <v>43</v>
      </c>
    </row>
    <row r="36" spans="1:3" ht="15.75" customHeight="1" x14ac:dyDescent="0.2">
      <c r="A36" s="2" t="s">
        <v>41</v>
      </c>
      <c r="B36" s="2">
        <v>3</v>
      </c>
      <c r="C36" s="2" t="s">
        <v>44</v>
      </c>
    </row>
    <row r="37" spans="1:3" ht="15.75" customHeight="1" x14ac:dyDescent="0.2">
      <c r="A37" s="2" t="s">
        <v>41</v>
      </c>
      <c r="B37" s="2">
        <v>4</v>
      </c>
      <c r="C37" s="2" t="s">
        <v>45</v>
      </c>
    </row>
    <row r="38" spans="1:3" ht="15.75" customHeight="1" x14ac:dyDescent="0.2">
      <c r="A38" s="2" t="s">
        <v>41</v>
      </c>
      <c r="B38" s="2">
        <v>5</v>
      </c>
      <c r="C38" s="2" t="s">
        <v>46</v>
      </c>
    </row>
    <row r="39" spans="1:3" ht="15.75" customHeight="1" x14ac:dyDescent="0.2">
      <c r="A39" s="2" t="s">
        <v>41</v>
      </c>
      <c r="B39" s="2">
        <v>6</v>
      </c>
      <c r="C39" s="2" t="s">
        <v>47</v>
      </c>
    </row>
    <row r="40" spans="1:3" ht="15.75" customHeight="1" x14ac:dyDescent="0.2">
      <c r="A40" s="2" t="s">
        <v>41</v>
      </c>
      <c r="B40" s="2">
        <v>7</v>
      </c>
      <c r="C40" s="2" t="s">
        <v>48</v>
      </c>
    </row>
    <row r="41" spans="1:3" ht="15.75" customHeight="1" x14ac:dyDescent="0.2">
      <c r="A41" s="2" t="s">
        <v>41</v>
      </c>
      <c r="B41" s="2">
        <v>88</v>
      </c>
      <c r="C41" s="2" t="s">
        <v>49</v>
      </c>
    </row>
    <row r="42" spans="1:3" ht="15.75" customHeight="1" x14ac:dyDescent="0.2">
      <c r="A42" s="2"/>
      <c r="B42" s="3"/>
      <c r="C42" s="2"/>
    </row>
    <row r="43" spans="1:3" ht="15.75" customHeight="1" x14ac:dyDescent="0.2">
      <c r="A43" s="2" t="s">
        <v>50</v>
      </c>
      <c r="B43" s="2">
        <v>1</v>
      </c>
      <c r="C43" s="2" t="s">
        <v>1206</v>
      </c>
    </row>
    <row r="44" spans="1:3" ht="15.75" customHeight="1" x14ac:dyDescent="0.2">
      <c r="A44" s="2" t="s">
        <v>50</v>
      </c>
      <c r="B44" s="2">
        <v>2</v>
      </c>
      <c r="C44" s="2" t="s">
        <v>1207</v>
      </c>
    </row>
    <row r="45" spans="1:3" ht="15.75" customHeight="1" x14ac:dyDescent="0.2">
      <c r="A45" s="2" t="s">
        <v>50</v>
      </c>
      <c r="B45" s="2">
        <v>88</v>
      </c>
      <c r="C45" s="2" t="s">
        <v>49</v>
      </c>
    </row>
    <row r="46" spans="1:3" ht="15.75" customHeight="1" x14ac:dyDescent="0.2">
      <c r="A46" s="2"/>
      <c r="B46" s="3"/>
      <c r="C46" s="2"/>
    </row>
    <row r="47" spans="1:3" ht="15.75" customHeight="1" x14ac:dyDescent="0.2">
      <c r="A47" s="2" t="s">
        <v>51</v>
      </c>
      <c r="B47" s="2">
        <v>1</v>
      </c>
      <c r="C47" s="2" t="s">
        <v>52</v>
      </c>
    </row>
    <row r="48" spans="1:3" ht="15.75" customHeight="1" x14ac:dyDescent="0.2">
      <c r="A48" s="2" t="s">
        <v>51</v>
      </c>
      <c r="B48" s="2">
        <v>2</v>
      </c>
      <c r="C48" s="2" t="s">
        <v>53</v>
      </c>
    </row>
    <row r="49" spans="1:3" ht="15.75" customHeight="1" x14ac:dyDescent="0.2">
      <c r="A49" s="2" t="s">
        <v>51</v>
      </c>
      <c r="B49" s="2">
        <v>3</v>
      </c>
      <c r="C49" s="2" t="s">
        <v>54</v>
      </c>
    </row>
    <row r="50" spans="1:3" ht="15.75" customHeight="1" x14ac:dyDescent="0.2">
      <c r="A50" s="2" t="s">
        <v>51</v>
      </c>
      <c r="B50" s="2">
        <v>4</v>
      </c>
      <c r="C50" s="2" t="s">
        <v>55</v>
      </c>
    </row>
    <row r="51" spans="1:3" ht="15.75" customHeight="1" x14ac:dyDescent="0.2">
      <c r="A51" s="2" t="s">
        <v>51</v>
      </c>
      <c r="B51" s="2">
        <v>5</v>
      </c>
      <c r="C51" s="2" t="s">
        <v>56</v>
      </c>
    </row>
    <row r="52" spans="1:3" ht="15.75" customHeight="1" x14ac:dyDescent="0.2">
      <c r="A52" s="2" t="s">
        <v>51</v>
      </c>
      <c r="B52" s="2">
        <v>6</v>
      </c>
      <c r="C52" s="2" t="s">
        <v>57</v>
      </c>
    </row>
    <row r="53" spans="1:3" ht="15.75" customHeight="1" x14ac:dyDescent="0.2">
      <c r="A53" s="2" t="s">
        <v>51</v>
      </c>
      <c r="B53" s="2">
        <v>88</v>
      </c>
      <c r="C53" s="2" t="s">
        <v>49</v>
      </c>
    </row>
    <row r="54" spans="1:3" ht="15.75" customHeight="1" x14ac:dyDescent="0.2">
      <c r="A54" s="2"/>
      <c r="C54" s="2"/>
    </row>
    <row r="55" spans="1:3" ht="15.75" customHeight="1" x14ac:dyDescent="0.2">
      <c r="A55" s="2" t="s">
        <v>59</v>
      </c>
      <c r="B55" s="2">
        <v>1</v>
      </c>
      <c r="C55" s="2" t="s">
        <v>60</v>
      </c>
    </row>
    <row r="56" spans="1:3" ht="15.75" customHeight="1" x14ac:dyDescent="0.2">
      <c r="A56" s="2" t="s">
        <v>59</v>
      </c>
      <c r="B56" s="2">
        <v>2</v>
      </c>
      <c r="C56" s="2" t="s">
        <v>61</v>
      </c>
    </row>
    <row r="57" spans="1:3" ht="15.75" customHeight="1" x14ac:dyDescent="0.2">
      <c r="A57" s="2" t="s">
        <v>59</v>
      </c>
      <c r="B57" s="2">
        <v>3</v>
      </c>
      <c r="C57" s="2" t="s">
        <v>63</v>
      </c>
    </row>
    <row r="58" spans="1:3" ht="15.75" customHeight="1" x14ac:dyDescent="0.2">
      <c r="A58" s="2" t="s">
        <v>59</v>
      </c>
      <c r="B58" s="2">
        <v>4</v>
      </c>
      <c r="C58" s="2" t="s">
        <v>64</v>
      </c>
    </row>
    <row r="59" spans="1:3" ht="15.75" customHeight="1" x14ac:dyDescent="0.2">
      <c r="A59" s="2" t="s">
        <v>59</v>
      </c>
      <c r="B59" s="2">
        <v>5</v>
      </c>
      <c r="C59" s="2" t="s">
        <v>65</v>
      </c>
    </row>
    <row r="60" spans="1:3" ht="15.75" customHeight="1" x14ac:dyDescent="0.2">
      <c r="A60" s="2" t="s">
        <v>59</v>
      </c>
      <c r="B60" s="2">
        <v>6</v>
      </c>
      <c r="C60" s="2" t="s">
        <v>66</v>
      </c>
    </row>
    <row r="61" spans="1:3" ht="15.75" customHeight="1" x14ac:dyDescent="0.2">
      <c r="A61" s="2" t="s">
        <v>59</v>
      </c>
      <c r="B61" s="2">
        <v>7</v>
      </c>
      <c r="C61" s="2" t="s">
        <v>67</v>
      </c>
    </row>
    <row r="62" spans="1:3" ht="15.75" customHeight="1" x14ac:dyDescent="0.2">
      <c r="A62" s="2" t="s">
        <v>59</v>
      </c>
      <c r="B62" s="2">
        <v>8</v>
      </c>
      <c r="C62" s="2" t="s">
        <v>68</v>
      </c>
    </row>
    <row r="63" spans="1:3" ht="15.75" customHeight="1" x14ac:dyDescent="0.2">
      <c r="A63" s="2" t="s">
        <v>59</v>
      </c>
      <c r="B63" s="2">
        <v>9</v>
      </c>
      <c r="C63" s="2" t="s">
        <v>69</v>
      </c>
    </row>
    <row r="64" spans="1:3" ht="15.75" customHeight="1" x14ac:dyDescent="0.2">
      <c r="A64" s="2" t="s">
        <v>59</v>
      </c>
      <c r="B64" s="2">
        <v>88</v>
      </c>
      <c r="C64" s="2" t="s">
        <v>49</v>
      </c>
    </row>
    <row r="65" spans="1:3" x14ac:dyDescent="0.2">
      <c r="A65" s="2"/>
      <c r="B65" s="3"/>
      <c r="C65" s="2"/>
    </row>
    <row r="66" spans="1:3" ht="15.75" customHeight="1" x14ac:dyDescent="0.2">
      <c r="A66" s="2" t="s">
        <v>28</v>
      </c>
      <c r="B66" s="3" t="s">
        <v>75</v>
      </c>
      <c r="C66" s="2" t="s">
        <v>76</v>
      </c>
    </row>
    <row r="67" spans="1:3" ht="15.75" customHeight="1" x14ac:dyDescent="0.2">
      <c r="A67" s="2" t="s">
        <v>28</v>
      </c>
      <c r="B67" s="3" t="s">
        <v>77</v>
      </c>
      <c r="C67" s="2" t="s">
        <v>78</v>
      </c>
    </row>
    <row r="68" spans="1:3" ht="15.75" customHeight="1" x14ac:dyDescent="0.2">
      <c r="A68" s="2" t="s">
        <v>28</v>
      </c>
      <c r="B68" s="3" t="s">
        <v>79</v>
      </c>
      <c r="C68" s="2" t="s">
        <v>80</v>
      </c>
    </row>
    <row r="69" spans="1:3" ht="15.75" customHeight="1" x14ac:dyDescent="0.2">
      <c r="A69" s="2" t="s">
        <v>28</v>
      </c>
      <c r="B69" s="3">
        <v>77</v>
      </c>
      <c r="C69" s="2" t="s">
        <v>74</v>
      </c>
    </row>
    <row r="70" spans="1:3" ht="15.75" customHeight="1" x14ac:dyDescent="0.2">
      <c r="A70" s="2" t="s">
        <v>28</v>
      </c>
      <c r="B70" s="3">
        <v>88</v>
      </c>
      <c r="C70" s="2" t="s">
        <v>49</v>
      </c>
    </row>
    <row r="71" spans="1:3" ht="15.75" customHeight="1" x14ac:dyDescent="0.2">
      <c r="A71" s="2"/>
      <c r="B71" s="3"/>
      <c r="C71" s="2"/>
    </row>
    <row r="72" spans="1:3" ht="15.75" customHeight="1" x14ac:dyDescent="0.2">
      <c r="A72" s="2" t="s">
        <v>87</v>
      </c>
      <c r="B72" s="2">
        <v>1</v>
      </c>
      <c r="C72" s="2" t="s">
        <v>89</v>
      </c>
    </row>
    <row r="73" spans="1:3" ht="15.75" customHeight="1" x14ac:dyDescent="0.2">
      <c r="A73" s="2" t="s">
        <v>87</v>
      </c>
      <c r="B73" s="2">
        <v>2</v>
      </c>
      <c r="C73" s="2" t="s">
        <v>90</v>
      </c>
    </row>
    <row r="74" spans="1:3" ht="15.75" customHeight="1" x14ac:dyDescent="0.2">
      <c r="A74" s="2" t="s">
        <v>87</v>
      </c>
      <c r="B74" s="2">
        <v>3</v>
      </c>
      <c r="C74" s="2" t="s">
        <v>92</v>
      </c>
    </row>
    <row r="75" spans="1:3" ht="15.75" customHeight="1" x14ac:dyDescent="0.2">
      <c r="A75" s="2" t="s">
        <v>87</v>
      </c>
      <c r="B75" s="2">
        <v>4</v>
      </c>
      <c r="C75" s="2" t="s">
        <v>94</v>
      </c>
    </row>
    <row r="76" spans="1:3" ht="15.75" customHeight="1" x14ac:dyDescent="0.2">
      <c r="A76" s="2" t="s">
        <v>87</v>
      </c>
      <c r="B76" s="2">
        <v>5</v>
      </c>
      <c r="C76" s="2" t="s">
        <v>95</v>
      </c>
    </row>
    <row r="77" spans="1:3" ht="15.75" customHeight="1" x14ac:dyDescent="0.2">
      <c r="A77" s="2" t="s">
        <v>87</v>
      </c>
      <c r="B77" s="2">
        <v>77</v>
      </c>
      <c r="C77" s="2" t="s">
        <v>98</v>
      </c>
    </row>
    <row r="78" spans="1:3" ht="15.75" customHeight="1" x14ac:dyDescent="0.2">
      <c r="A78" s="2" t="s">
        <v>87</v>
      </c>
      <c r="B78" s="2">
        <v>88</v>
      </c>
      <c r="C78" s="2" t="s">
        <v>49</v>
      </c>
    </row>
    <row r="79" spans="1:3" ht="15.75" customHeight="1" x14ac:dyDescent="0.2">
      <c r="A79" s="2"/>
      <c r="B79" s="3"/>
      <c r="C79" s="2"/>
    </row>
    <row r="80" spans="1:3" ht="15.75" customHeight="1" x14ac:dyDescent="0.2">
      <c r="A80" s="2" t="s">
        <v>99</v>
      </c>
      <c r="B80" s="3" t="s">
        <v>100</v>
      </c>
      <c r="C80" s="2" t="s">
        <v>101</v>
      </c>
    </row>
    <row r="81" spans="1:3" ht="15.75" customHeight="1" x14ac:dyDescent="0.2">
      <c r="A81" s="2" t="s">
        <v>99</v>
      </c>
      <c r="B81" s="3" t="s">
        <v>103</v>
      </c>
      <c r="C81" s="2" t="s">
        <v>104</v>
      </c>
    </row>
    <row r="82" spans="1:3" ht="15.75" customHeight="1" x14ac:dyDescent="0.2">
      <c r="A82" s="2" t="s">
        <v>99</v>
      </c>
      <c r="B82" s="3" t="s">
        <v>105</v>
      </c>
      <c r="C82" s="2" t="s">
        <v>106</v>
      </c>
    </row>
    <row r="83" spans="1:3" ht="15.75" customHeight="1" x14ac:dyDescent="0.2">
      <c r="A83" s="2" t="s">
        <v>99</v>
      </c>
      <c r="B83" s="3">
        <v>77</v>
      </c>
      <c r="C83" s="2" t="s">
        <v>74</v>
      </c>
    </row>
    <row r="84" spans="1:3" ht="15.75" customHeight="1" x14ac:dyDescent="0.2">
      <c r="A84" s="2"/>
      <c r="B84" s="3"/>
      <c r="C84" s="2"/>
    </row>
    <row r="85" spans="1:3" x14ac:dyDescent="0.2">
      <c r="A85" s="2" t="s">
        <v>108</v>
      </c>
      <c r="B85" s="2">
        <v>77</v>
      </c>
      <c r="C85" s="2" t="s">
        <v>74</v>
      </c>
    </row>
    <row r="86" spans="1:3" x14ac:dyDescent="0.2">
      <c r="A86" s="2"/>
      <c r="B86" s="3"/>
      <c r="C86" s="2"/>
    </row>
    <row r="87" spans="1:3" x14ac:dyDescent="0.2">
      <c r="A87" s="1" t="s">
        <v>109</v>
      </c>
      <c r="B87" s="2">
        <v>1</v>
      </c>
      <c r="C87" s="1" t="s">
        <v>35</v>
      </c>
    </row>
    <row r="88" spans="1:3" x14ac:dyDescent="0.2">
      <c r="A88" s="1" t="s">
        <v>109</v>
      </c>
      <c r="B88" s="2">
        <v>2</v>
      </c>
      <c r="C88" s="1" t="s">
        <v>36</v>
      </c>
    </row>
    <row r="89" spans="1:3" x14ac:dyDescent="0.2">
      <c r="A89" s="1" t="s">
        <v>109</v>
      </c>
      <c r="B89" s="2">
        <v>3</v>
      </c>
      <c r="C89" s="1" t="s">
        <v>110</v>
      </c>
    </row>
    <row r="91" spans="1:3" x14ac:dyDescent="0.2">
      <c r="A91" s="2" t="s">
        <v>791</v>
      </c>
      <c r="B91" s="2">
        <v>1</v>
      </c>
      <c r="C91" s="2" t="s">
        <v>35</v>
      </c>
    </row>
    <row r="92" spans="1:3" x14ac:dyDescent="0.2">
      <c r="A92" s="2" t="s">
        <v>791</v>
      </c>
      <c r="B92" s="2">
        <v>2</v>
      </c>
      <c r="C92" s="2" t="s">
        <v>36</v>
      </c>
    </row>
    <row r="93" spans="1:3" x14ac:dyDescent="0.2">
      <c r="A93" s="2" t="s">
        <v>791</v>
      </c>
      <c r="B93" s="2">
        <v>3</v>
      </c>
      <c r="C93" s="2" t="s">
        <v>792</v>
      </c>
    </row>
    <row r="94" spans="1:3" x14ac:dyDescent="0.2">
      <c r="A94" s="2" t="s">
        <v>791</v>
      </c>
      <c r="B94" s="2">
        <v>77</v>
      </c>
      <c r="C94" s="2" t="s">
        <v>74</v>
      </c>
    </row>
    <row r="95" spans="1:3" x14ac:dyDescent="0.2">
      <c r="A95" s="2"/>
      <c r="B95" s="3"/>
      <c r="C95" s="2"/>
    </row>
    <row r="96" spans="1:3" x14ac:dyDescent="0.2">
      <c r="A96" s="2" t="s">
        <v>112</v>
      </c>
      <c r="B96" s="2">
        <v>1</v>
      </c>
      <c r="C96" s="2" t="s">
        <v>113</v>
      </c>
    </row>
    <row r="97" spans="1:3" x14ac:dyDescent="0.2">
      <c r="A97" s="2" t="s">
        <v>112</v>
      </c>
      <c r="B97" s="2">
        <v>2</v>
      </c>
      <c r="C97" s="2" t="s">
        <v>114</v>
      </c>
    </row>
    <row r="98" spans="1:3" x14ac:dyDescent="0.2">
      <c r="A98" s="2" t="s">
        <v>112</v>
      </c>
      <c r="B98" s="2">
        <v>3</v>
      </c>
      <c r="C98" s="2" t="s">
        <v>115</v>
      </c>
    </row>
    <row r="99" spans="1:3" x14ac:dyDescent="0.2">
      <c r="A99" s="2" t="s">
        <v>112</v>
      </c>
      <c r="B99" s="2">
        <v>4</v>
      </c>
      <c r="C99" s="2" t="s">
        <v>116</v>
      </c>
    </row>
    <row r="100" spans="1:3" x14ac:dyDescent="0.2">
      <c r="A100" s="2" t="s">
        <v>112</v>
      </c>
      <c r="B100" s="2">
        <v>5</v>
      </c>
      <c r="C100" s="2" t="s">
        <v>117</v>
      </c>
    </row>
    <row r="101" spans="1:3" x14ac:dyDescent="0.2">
      <c r="A101" s="2" t="s">
        <v>112</v>
      </c>
      <c r="B101" s="2">
        <v>6</v>
      </c>
      <c r="C101" s="2" t="s">
        <v>118</v>
      </c>
    </row>
    <row r="102" spans="1:3" x14ac:dyDescent="0.2">
      <c r="A102" s="2" t="s">
        <v>112</v>
      </c>
      <c r="B102" s="2">
        <v>7</v>
      </c>
      <c r="C102" s="2" t="s">
        <v>124</v>
      </c>
    </row>
    <row r="103" spans="1:3" x14ac:dyDescent="0.2">
      <c r="A103" s="2"/>
      <c r="B103" s="3"/>
      <c r="C103" s="2"/>
    </row>
    <row r="104" spans="1:3" x14ac:dyDescent="0.2">
      <c r="A104" s="2" t="s">
        <v>119</v>
      </c>
      <c r="B104" s="2">
        <v>1</v>
      </c>
      <c r="C104" s="2" t="s">
        <v>120</v>
      </c>
    </row>
    <row r="105" spans="1:3" x14ac:dyDescent="0.2">
      <c r="A105" s="2" t="s">
        <v>119</v>
      </c>
      <c r="B105" s="2">
        <v>2</v>
      </c>
      <c r="C105" s="2" t="s">
        <v>121</v>
      </c>
    </row>
    <row r="106" spans="1:3" x14ac:dyDescent="0.2">
      <c r="A106" s="2" t="s">
        <v>119</v>
      </c>
      <c r="B106" s="2">
        <v>3</v>
      </c>
      <c r="C106" s="2" t="s">
        <v>122</v>
      </c>
    </row>
    <row r="107" spans="1:3" x14ac:dyDescent="0.2">
      <c r="A107" s="2" t="s">
        <v>119</v>
      </c>
      <c r="B107" s="2">
        <v>4</v>
      </c>
      <c r="C107" s="2" t="s">
        <v>123</v>
      </c>
    </row>
    <row r="108" spans="1:3" x14ac:dyDescent="0.2">
      <c r="A108" s="2" t="s">
        <v>119</v>
      </c>
      <c r="B108" s="2">
        <v>5</v>
      </c>
      <c r="C108" s="2" t="s">
        <v>124</v>
      </c>
    </row>
    <row r="109" spans="1:3" x14ac:dyDescent="0.2">
      <c r="A109" s="2"/>
      <c r="B109" s="3"/>
      <c r="C109" s="2"/>
    </row>
    <row r="110" spans="1:3" x14ac:dyDescent="0.2">
      <c r="A110" s="2" t="s">
        <v>125</v>
      </c>
      <c r="B110" s="2">
        <v>1</v>
      </c>
      <c r="C110" s="2" t="s">
        <v>126</v>
      </c>
    </row>
    <row r="111" spans="1:3" x14ac:dyDescent="0.2">
      <c r="A111" s="2" t="s">
        <v>125</v>
      </c>
      <c r="B111" s="2">
        <v>2</v>
      </c>
      <c r="C111" s="2" t="s">
        <v>127</v>
      </c>
    </row>
    <row r="112" spans="1:3" x14ac:dyDescent="0.2">
      <c r="A112" s="2" t="s">
        <v>125</v>
      </c>
      <c r="B112" s="2">
        <v>3</v>
      </c>
      <c r="C112" s="2" t="s">
        <v>128</v>
      </c>
    </row>
    <row r="113" spans="1:3" x14ac:dyDescent="0.2">
      <c r="A113" s="2" t="s">
        <v>125</v>
      </c>
      <c r="B113" s="2">
        <v>4</v>
      </c>
      <c r="C113" s="2" t="s">
        <v>129</v>
      </c>
    </row>
    <row r="114" spans="1:3" x14ac:dyDescent="0.2">
      <c r="A114" s="2" t="s">
        <v>125</v>
      </c>
      <c r="B114" s="2">
        <v>5</v>
      </c>
      <c r="C114" s="2" t="s">
        <v>36</v>
      </c>
    </row>
    <row r="115" spans="1:3" x14ac:dyDescent="0.2">
      <c r="A115" s="2"/>
      <c r="B115" s="3"/>
      <c r="C115" s="2"/>
    </row>
    <row r="116" spans="1:3" x14ac:dyDescent="0.2">
      <c r="A116" s="2" t="s">
        <v>130</v>
      </c>
      <c r="B116" s="2">
        <v>1</v>
      </c>
      <c r="C116" s="2" t="s">
        <v>131</v>
      </c>
    </row>
    <row r="117" spans="1:3" x14ac:dyDescent="0.2">
      <c r="A117" s="2" t="s">
        <v>130</v>
      </c>
      <c r="B117" s="2">
        <v>2</v>
      </c>
      <c r="C117" s="2" t="s">
        <v>132</v>
      </c>
    </row>
    <row r="118" spans="1:3" x14ac:dyDescent="0.2">
      <c r="A118" s="2" t="s">
        <v>130</v>
      </c>
      <c r="B118" s="2">
        <v>3</v>
      </c>
      <c r="C118" s="2" t="s">
        <v>133</v>
      </c>
    </row>
    <row r="119" spans="1:3" x14ac:dyDescent="0.2">
      <c r="A119" s="2" t="s">
        <v>130</v>
      </c>
      <c r="B119" s="2">
        <v>4</v>
      </c>
      <c r="C119" s="2" t="s">
        <v>134</v>
      </c>
    </row>
    <row r="120" spans="1:3" x14ac:dyDescent="0.2">
      <c r="A120" s="2" t="s">
        <v>130</v>
      </c>
      <c r="B120" s="2">
        <v>5</v>
      </c>
      <c r="C120" s="2" t="s">
        <v>124</v>
      </c>
    </row>
    <row r="121" spans="1:3" x14ac:dyDescent="0.2">
      <c r="A121" s="2" t="s">
        <v>130</v>
      </c>
      <c r="B121" s="2">
        <v>77</v>
      </c>
      <c r="C121" s="2" t="s">
        <v>74</v>
      </c>
    </row>
    <row r="122" spans="1:3" x14ac:dyDescent="0.2">
      <c r="A122" s="2"/>
      <c r="B122" s="3"/>
      <c r="C122" s="2"/>
    </row>
    <row r="123" spans="1:3" x14ac:dyDescent="0.2">
      <c r="A123" s="2" t="s">
        <v>135</v>
      </c>
      <c r="B123" s="2">
        <v>1</v>
      </c>
      <c r="C123" s="2" t="s">
        <v>136</v>
      </c>
    </row>
    <row r="124" spans="1:3" x14ac:dyDescent="0.2">
      <c r="A124" s="2" t="s">
        <v>135</v>
      </c>
      <c r="B124" s="2">
        <v>2</v>
      </c>
      <c r="C124" s="2" t="s">
        <v>138</v>
      </c>
    </row>
    <row r="125" spans="1:3" x14ac:dyDescent="0.2">
      <c r="A125" s="2" t="s">
        <v>135</v>
      </c>
      <c r="B125" s="2">
        <v>3</v>
      </c>
      <c r="C125" s="2" t="s">
        <v>140</v>
      </c>
    </row>
    <row r="126" spans="1:3" x14ac:dyDescent="0.2">
      <c r="A126" s="2" t="s">
        <v>135</v>
      </c>
      <c r="B126" s="2">
        <v>4</v>
      </c>
      <c r="C126" s="2" t="s">
        <v>141</v>
      </c>
    </row>
    <row r="127" spans="1:3" x14ac:dyDescent="0.2">
      <c r="A127" s="2" t="s">
        <v>135</v>
      </c>
      <c r="B127" s="2">
        <v>5</v>
      </c>
      <c r="C127" s="2" t="s">
        <v>143</v>
      </c>
    </row>
    <row r="128" spans="1:3" ht="15" customHeight="1" x14ac:dyDescent="0.2">
      <c r="A128" s="2" t="s">
        <v>135</v>
      </c>
      <c r="B128" s="2">
        <v>77</v>
      </c>
      <c r="C128" s="2" t="s">
        <v>74</v>
      </c>
    </row>
    <row r="129" spans="1:3" x14ac:dyDescent="0.2">
      <c r="A129" s="4"/>
      <c r="B129" s="1"/>
      <c r="C129" s="4"/>
    </row>
    <row r="130" spans="1:3" ht="15" customHeight="1" x14ac:dyDescent="0.2">
      <c r="A130" s="2" t="s">
        <v>147</v>
      </c>
      <c r="B130" s="2">
        <v>1</v>
      </c>
      <c r="C130" s="2" t="s">
        <v>149</v>
      </c>
    </row>
    <row r="131" spans="1:3" ht="15" customHeight="1" x14ac:dyDescent="0.2">
      <c r="A131" s="2" t="s">
        <v>147</v>
      </c>
      <c r="B131" s="2">
        <v>2</v>
      </c>
      <c r="C131" s="2" t="s">
        <v>150</v>
      </c>
    </row>
    <row r="132" spans="1:3" ht="15" customHeight="1" x14ac:dyDescent="0.2">
      <c r="A132" s="2" t="s">
        <v>147</v>
      </c>
      <c r="B132" s="2">
        <v>3</v>
      </c>
      <c r="C132" s="2" t="s">
        <v>152</v>
      </c>
    </row>
    <row r="133" spans="1:3" ht="15" customHeight="1" x14ac:dyDescent="0.2">
      <c r="A133" s="2" t="s">
        <v>147</v>
      </c>
      <c r="B133" s="2">
        <v>77</v>
      </c>
      <c r="C133" s="2" t="s">
        <v>74</v>
      </c>
    </row>
    <row r="134" spans="1:3" x14ac:dyDescent="0.2">
      <c r="A134" s="2"/>
      <c r="C134" s="2"/>
    </row>
    <row r="135" spans="1:3" ht="15" customHeight="1" x14ac:dyDescent="0.2">
      <c r="A135" s="2" t="s">
        <v>528</v>
      </c>
      <c r="B135" s="163">
        <v>1</v>
      </c>
      <c r="C135" s="6" t="s">
        <v>530</v>
      </c>
    </row>
    <row r="136" spans="1:3" ht="15" customHeight="1" x14ac:dyDescent="0.2">
      <c r="A136" s="2" t="s">
        <v>528</v>
      </c>
      <c r="B136" s="163">
        <v>2</v>
      </c>
      <c r="C136" s="6" t="s">
        <v>531</v>
      </c>
    </row>
    <row r="137" spans="1:3" ht="15" customHeight="1" x14ac:dyDescent="0.2">
      <c r="A137" s="2" t="s">
        <v>528</v>
      </c>
      <c r="B137" s="163">
        <v>3</v>
      </c>
      <c r="C137" s="6" t="s">
        <v>532</v>
      </c>
    </row>
    <row r="138" spans="1:3" ht="15" customHeight="1" x14ac:dyDescent="0.2">
      <c r="A138" s="2" t="s">
        <v>528</v>
      </c>
      <c r="B138" s="163">
        <v>4</v>
      </c>
      <c r="C138" s="6" t="s">
        <v>533</v>
      </c>
    </row>
    <row r="139" spans="1:3" ht="15" customHeight="1" x14ac:dyDescent="0.2">
      <c r="A139" s="2" t="s">
        <v>528</v>
      </c>
      <c r="B139" s="163">
        <v>5</v>
      </c>
      <c r="C139" s="6" t="s">
        <v>534</v>
      </c>
    </row>
    <row r="140" spans="1:3" ht="15" customHeight="1" x14ac:dyDescent="0.2">
      <c r="A140" s="2" t="s">
        <v>528</v>
      </c>
      <c r="B140" s="163">
        <v>6</v>
      </c>
      <c r="C140" s="6" t="s">
        <v>535</v>
      </c>
    </row>
    <row r="141" spans="1:3" ht="15" customHeight="1" x14ac:dyDescent="0.2">
      <c r="A141" s="2" t="s">
        <v>528</v>
      </c>
      <c r="B141" s="163">
        <v>7</v>
      </c>
      <c r="C141" s="6" t="s">
        <v>536</v>
      </c>
    </row>
    <row r="142" spans="1:3" ht="15" customHeight="1" x14ac:dyDescent="0.2">
      <c r="A142" s="2" t="s">
        <v>528</v>
      </c>
      <c r="B142" s="163">
        <v>8</v>
      </c>
      <c r="C142" s="6" t="s">
        <v>537</v>
      </c>
    </row>
    <row r="143" spans="1:3" ht="15" customHeight="1" x14ac:dyDescent="0.2">
      <c r="A143" s="2" t="s">
        <v>528</v>
      </c>
      <c r="B143" s="163">
        <v>9</v>
      </c>
      <c r="C143" s="6" t="s">
        <v>538</v>
      </c>
    </row>
    <row r="144" spans="1:3" ht="15" customHeight="1" x14ac:dyDescent="0.2">
      <c r="A144" s="2" t="s">
        <v>528</v>
      </c>
      <c r="B144" s="163">
        <v>10</v>
      </c>
      <c r="C144" s="6" t="s">
        <v>539</v>
      </c>
    </row>
    <row r="145" spans="1:3" ht="15" customHeight="1" x14ac:dyDescent="0.2">
      <c r="A145" s="2" t="s">
        <v>528</v>
      </c>
      <c r="B145" s="163">
        <v>11</v>
      </c>
      <c r="C145" s="6" t="s">
        <v>540</v>
      </c>
    </row>
    <row r="146" spans="1:3" ht="15" customHeight="1" x14ac:dyDescent="0.2">
      <c r="A146" s="2" t="s">
        <v>528</v>
      </c>
      <c r="B146" s="163">
        <v>12</v>
      </c>
      <c r="C146" s="6" t="s">
        <v>541</v>
      </c>
    </row>
    <row r="147" spans="1:3" ht="15" customHeight="1" x14ac:dyDescent="0.2">
      <c r="A147" s="2" t="s">
        <v>528</v>
      </c>
      <c r="B147" s="163">
        <v>13</v>
      </c>
      <c r="C147" s="6" t="s">
        <v>542</v>
      </c>
    </row>
    <row r="148" spans="1:3" ht="15" customHeight="1" x14ac:dyDescent="0.2">
      <c r="A148" s="2" t="s">
        <v>528</v>
      </c>
      <c r="B148" s="163">
        <v>14</v>
      </c>
      <c r="C148" s="6" t="s">
        <v>543</v>
      </c>
    </row>
    <row r="149" spans="1:3" ht="15" customHeight="1" x14ac:dyDescent="0.2">
      <c r="A149" s="2" t="s">
        <v>528</v>
      </c>
      <c r="B149" s="163">
        <v>15</v>
      </c>
      <c r="C149" s="6" t="s">
        <v>544</v>
      </c>
    </row>
    <row r="150" spans="1:3" ht="15" customHeight="1" x14ac:dyDescent="0.2">
      <c r="A150" s="2" t="s">
        <v>528</v>
      </c>
      <c r="B150" s="163">
        <v>16</v>
      </c>
      <c r="C150" s="6" t="s">
        <v>545</v>
      </c>
    </row>
    <row r="151" spans="1:3" ht="15" customHeight="1" x14ac:dyDescent="0.2">
      <c r="A151" s="2" t="s">
        <v>528</v>
      </c>
      <c r="B151" s="163">
        <v>17</v>
      </c>
      <c r="C151" s="6" t="s">
        <v>546</v>
      </c>
    </row>
    <row r="152" spans="1:3" ht="15" customHeight="1" x14ac:dyDescent="0.2">
      <c r="A152" s="2" t="s">
        <v>528</v>
      </c>
      <c r="B152" s="163">
        <v>18</v>
      </c>
      <c r="C152" s="6" t="s">
        <v>547</v>
      </c>
    </row>
    <row r="153" spans="1:3" ht="15" customHeight="1" x14ac:dyDescent="0.2">
      <c r="A153" s="2" t="s">
        <v>528</v>
      </c>
      <c r="B153" s="163">
        <v>19</v>
      </c>
      <c r="C153" s="6" t="s">
        <v>548</v>
      </c>
    </row>
    <row r="154" spans="1:3" ht="15" customHeight="1" x14ac:dyDescent="0.2">
      <c r="A154" s="2" t="s">
        <v>528</v>
      </c>
      <c r="B154" s="163">
        <v>20</v>
      </c>
      <c r="C154" s="6" t="s">
        <v>549</v>
      </c>
    </row>
    <row r="155" spans="1:3" ht="15" customHeight="1" x14ac:dyDescent="0.2">
      <c r="A155" s="2" t="s">
        <v>528</v>
      </c>
      <c r="B155" s="163">
        <v>21</v>
      </c>
      <c r="C155" s="6" t="s">
        <v>550</v>
      </c>
    </row>
    <row r="156" spans="1:3" ht="15" customHeight="1" x14ac:dyDescent="0.2">
      <c r="A156" s="2" t="s">
        <v>528</v>
      </c>
      <c r="B156" s="163">
        <v>22</v>
      </c>
      <c r="C156" s="6" t="s">
        <v>551</v>
      </c>
    </row>
    <row r="157" spans="1:3" ht="15" customHeight="1" x14ac:dyDescent="0.2">
      <c r="A157" s="2" t="s">
        <v>528</v>
      </c>
      <c r="B157" s="163">
        <v>23</v>
      </c>
      <c r="C157" s="6" t="s">
        <v>552</v>
      </c>
    </row>
    <row r="158" spans="1:3" ht="15" customHeight="1" x14ac:dyDescent="0.2">
      <c r="A158" s="2" t="s">
        <v>528</v>
      </c>
      <c r="B158" s="163">
        <v>24</v>
      </c>
      <c r="C158" s="6" t="s">
        <v>553</v>
      </c>
    </row>
    <row r="159" spans="1:3" ht="15" customHeight="1" x14ac:dyDescent="0.2">
      <c r="A159" s="2" t="s">
        <v>528</v>
      </c>
      <c r="B159" s="163">
        <v>25</v>
      </c>
      <c r="C159" s="6" t="s">
        <v>554</v>
      </c>
    </row>
    <row r="160" spans="1:3" ht="15" customHeight="1" x14ac:dyDescent="0.2">
      <c r="A160" s="2" t="s">
        <v>528</v>
      </c>
      <c r="B160" s="163">
        <v>26</v>
      </c>
      <c r="C160" s="6" t="s">
        <v>555</v>
      </c>
    </row>
    <row r="161" spans="1:3" ht="15" customHeight="1" x14ac:dyDescent="0.2">
      <c r="A161" s="2" t="s">
        <v>528</v>
      </c>
      <c r="B161" s="163">
        <v>27</v>
      </c>
      <c r="C161" s="6" t="s">
        <v>556</v>
      </c>
    </row>
    <row r="162" spans="1:3" ht="15" customHeight="1" x14ac:dyDescent="0.2">
      <c r="A162" s="2" t="s">
        <v>528</v>
      </c>
      <c r="B162" s="163">
        <v>28</v>
      </c>
      <c r="C162" s="6" t="s">
        <v>557</v>
      </c>
    </row>
    <row r="163" spans="1:3" ht="15" customHeight="1" x14ac:dyDescent="0.2">
      <c r="A163" s="2" t="s">
        <v>528</v>
      </c>
      <c r="B163" s="163">
        <v>29</v>
      </c>
      <c r="C163" s="6" t="s">
        <v>558</v>
      </c>
    </row>
    <row r="164" spans="1:3" ht="15" customHeight="1" x14ac:dyDescent="0.2">
      <c r="A164" s="2" t="s">
        <v>528</v>
      </c>
      <c r="B164" s="163">
        <v>30</v>
      </c>
      <c r="C164" s="6" t="s">
        <v>559</v>
      </c>
    </row>
    <row r="165" spans="1:3" ht="15" customHeight="1" x14ac:dyDescent="0.2">
      <c r="A165" s="2" t="s">
        <v>528</v>
      </c>
      <c r="B165" s="163">
        <v>31</v>
      </c>
      <c r="C165" s="6" t="s">
        <v>560</v>
      </c>
    </row>
    <row r="166" spans="1:3" ht="15" customHeight="1" x14ac:dyDescent="0.2">
      <c r="A166" s="2" t="s">
        <v>528</v>
      </c>
      <c r="B166" s="163">
        <v>77</v>
      </c>
      <c r="C166" s="6" t="s">
        <v>74</v>
      </c>
    </row>
    <row r="167" spans="1:3" ht="15" customHeight="1" x14ac:dyDescent="0.2">
      <c r="C167" s="7"/>
    </row>
    <row r="168" spans="1:3" ht="15" customHeight="1" x14ac:dyDescent="0.2">
      <c r="A168" s="2" t="s">
        <v>529</v>
      </c>
      <c r="B168" s="163">
        <v>1</v>
      </c>
      <c r="C168" s="6" t="s">
        <v>565</v>
      </c>
    </row>
    <row r="169" spans="1:3" ht="15" customHeight="1" x14ac:dyDescent="0.2">
      <c r="A169" s="2" t="s">
        <v>529</v>
      </c>
      <c r="B169" s="163">
        <v>2</v>
      </c>
      <c r="C169" s="6" t="s">
        <v>566</v>
      </c>
    </row>
    <row r="170" spans="1:3" ht="15" customHeight="1" x14ac:dyDescent="0.2">
      <c r="A170" s="2" t="s">
        <v>529</v>
      </c>
      <c r="B170" s="163">
        <v>3</v>
      </c>
      <c r="C170" s="6" t="s">
        <v>567</v>
      </c>
    </row>
    <row r="171" spans="1:3" ht="15" customHeight="1" x14ac:dyDescent="0.2">
      <c r="A171" s="2" t="s">
        <v>529</v>
      </c>
      <c r="B171" s="163">
        <v>4</v>
      </c>
      <c r="C171" s="6" t="s">
        <v>568</v>
      </c>
    </row>
    <row r="172" spans="1:3" ht="15" customHeight="1" x14ac:dyDescent="0.2">
      <c r="A172" s="2" t="s">
        <v>529</v>
      </c>
      <c r="B172" s="163">
        <v>5</v>
      </c>
      <c r="C172" s="6" t="s">
        <v>569</v>
      </c>
    </row>
    <row r="173" spans="1:3" ht="15" customHeight="1" x14ac:dyDescent="0.2">
      <c r="A173" s="2" t="s">
        <v>529</v>
      </c>
      <c r="B173" s="163">
        <v>6</v>
      </c>
      <c r="C173" s="6" t="s">
        <v>570</v>
      </c>
    </row>
    <row r="174" spans="1:3" ht="15" customHeight="1" x14ac:dyDescent="0.2">
      <c r="A174" s="2" t="s">
        <v>529</v>
      </c>
      <c r="B174" s="163">
        <v>7</v>
      </c>
      <c r="C174" s="6" t="s">
        <v>571</v>
      </c>
    </row>
    <row r="175" spans="1:3" ht="15" customHeight="1" x14ac:dyDescent="0.2">
      <c r="A175" s="2" t="s">
        <v>529</v>
      </c>
      <c r="B175" s="163">
        <v>8</v>
      </c>
      <c r="C175" s="6" t="s">
        <v>572</v>
      </c>
    </row>
    <row r="176" spans="1:3" ht="15" customHeight="1" x14ac:dyDescent="0.2">
      <c r="A176" s="2" t="s">
        <v>529</v>
      </c>
      <c r="B176" s="163">
        <v>9</v>
      </c>
      <c r="C176" s="6" t="s">
        <v>573</v>
      </c>
    </row>
    <row r="177" spans="1:3" ht="15" customHeight="1" x14ac:dyDescent="0.2">
      <c r="A177" s="2" t="s">
        <v>529</v>
      </c>
      <c r="B177" s="163">
        <v>10</v>
      </c>
      <c r="C177" s="6" t="s">
        <v>574</v>
      </c>
    </row>
    <row r="178" spans="1:3" ht="15" customHeight="1" x14ac:dyDescent="0.2">
      <c r="A178" s="2" t="s">
        <v>529</v>
      </c>
      <c r="B178" s="163">
        <v>11</v>
      </c>
      <c r="C178" s="6" t="s">
        <v>575</v>
      </c>
    </row>
    <row r="179" spans="1:3" ht="15" customHeight="1" x14ac:dyDescent="0.2">
      <c r="A179" s="2" t="s">
        <v>529</v>
      </c>
      <c r="B179" s="163">
        <v>12</v>
      </c>
      <c r="C179" s="6" t="s">
        <v>576</v>
      </c>
    </row>
    <row r="180" spans="1:3" ht="15" customHeight="1" x14ac:dyDescent="0.2">
      <c r="A180" s="2" t="s">
        <v>529</v>
      </c>
      <c r="B180" s="163">
        <v>77</v>
      </c>
      <c r="C180" s="6" t="s">
        <v>74</v>
      </c>
    </row>
    <row r="181" spans="1:3" ht="15" customHeight="1" x14ac:dyDescent="0.2">
      <c r="A181" s="2"/>
      <c r="B181" s="6"/>
      <c r="C181" s="7"/>
    </row>
    <row r="182" spans="1:3" ht="15" customHeight="1" x14ac:dyDescent="0.2">
      <c r="A182" s="8" t="str">
        <f t="shared" ref="A182:A238" ca="1" si="0">IF(OR(B182="", B182="Formula"),"","time_yyyy")</f>
        <v>time_yyyy</v>
      </c>
      <c r="B182" s="8">
        <f ca="1">YEAR(TODAY())-survey!G9-1</f>
        <v>1956</v>
      </c>
      <c r="C182" s="9">
        <f ca="1">IF(B182=7777,"Don't know",B182)</f>
        <v>1956</v>
      </c>
    </row>
    <row r="183" spans="1:3" ht="15" customHeight="1" x14ac:dyDescent="0.2">
      <c r="A183" s="8" t="str">
        <f t="shared" ca="1" si="0"/>
        <v>time_yyyy</v>
      </c>
      <c r="B183" s="8">
        <f ca="1">IF(COUNT(B$182:B182)&gt;(survey!G$9-survey!G$8+2),IF(COUNTIF(B$182:B182,7777)=0,7777,"Formula"),B182+1)</f>
        <v>1957</v>
      </c>
      <c r="C183" s="9">
        <f t="shared" ref="C183:C246" ca="1" si="1">IF(B183=7777,"Don't know",B183)</f>
        <v>1957</v>
      </c>
    </row>
    <row r="184" spans="1:3" ht="15" customHeight="1" x14ac:dyDescent="0.2">
      <c r="A184" s="8" t="str">
        <f t="shared" ca="1" si="0"/>
        <v>time_yyyy</v>
      </c>
      <c r="B184" s="8">
        <f ca="1">IF(COUNT(B$182:B183)&gt;(survey!G$9-survey!G$8+2),IF(COUNTIF(B$182:B183,7777)=0,7777,"Formula"),B183+1)</f>
        <v>1958</v>
      </c>
      <c r="C184" s="9">
        <f t="shared" ca="1" si="1"/>
        <v>1958</v>
      </c>
    </row>
    <row r="185" spans="1:3" ht="15" customHeight="1" x14ac:dyDescent="0.2">
      <c r="A185" s="8" t="str">
        <f t="shared" ca="1" si="0"/>
        <v>time_yyyy</v>
      </c>
      <c r="B185" s="8">
        <f ca="1">IF(COUNT(B$182:B184)&gt;(survey!G$9-survey!G$8+2),IF(COUNTIF(B$182:B184,7777)=0,7777,"Formula"),B184+1)</f>
        <v>1959</v>
      </c>
      <c r="C185" s="9">
        <f t="shared" ca="1" si="1"/>
        <v>1959</v>
      </c>
    </row>
    <row r="186" spans="1:3" ht="15" customHeight="1" x14ac:dyDescent="0.2">
      <c r="A186" s="8" t="str">
        <f t="shared" ca="1" si="0"/>
        <v>time_yyyy</v>
      </c>
      <c r="B186" s="8">
        <f ca="1">IF(COUNT(B$182:B185)&gt;(survey!G$9-survey!G$8+2),IF(COUNTIF(B$182:B185,7777)=0,7777,"Formula"),B185+1)</f>
        <v>1960</v>
      </c>
      <c r="C186" s="9">
        <f t="shared" ca="1" si="1"/>
        <v>1960</v>
      </c>
    </row>
    <row r="187" spans="1:3" ht="15" customHeight="1" x14ac:dyDescent="0.2">
      <c r="A187" s="8" t="str">
        <f t="shared" ca="1" si="0"/>
        <v>time_yyyy</v>
      </c>
      <c r="B187" s="8">
        <f ca="1">IF(COUNT(B$182:B186)&gt;(survey!G$9-survey!G$8+2),IF(COUNTIF(B$182:B186,7777)=0,7777,"Formula"),B186+1)</f>
        <v>1961</v>
      </c>
      <c r="C187" s="9">
        <f t="shared" ca="1" si="1"/>
        <v>1961</v>
      </c>
    </row>
    <row r="188" spans="1:3" ht="15" customHeight="1" x14ac:dyDescent="0.2">
      <c r="A188" s="8" t="str">
        <f t="shared" ca="1" si="0"/>
        <v>time_yyyy</v>
      </c>
      <c r="B188" s="8">
        <f ca="1">IF(COUNT(B$182:B187)&gt;(survey!G$9-survey!G$8+2),IF(COUNTIF(B$182:B187,7777)=0,7777,"Formula"),B187+1)</f>
        <v>1962</v>
      </c>
      <c r="C188" s="9">
        <f t="shared" ca="1" si="1"/>
        <v>1962</v>
      </c>
    </row>
    <row r="189" spans="1:3" ht="15" customHeight="1" x14ac:dyDescent="0.2">
      <c r="A189" s="8" t="str">
        <f t="shared" ca="1" si="0"/>
        <v>time_yyyy</v>
      </c>
      <c r="B189" s="8">
        <f ca="1">IF(COUNT(B$182:B188)&gt;(survey!G$9-survey!G$8+2),IF(COUNTIF(B$182:B188,7777)=0,7777,"Formula"),B188+1)</f>
        <v>1963</v>
      </c>
      <c r="C189" s="9">
        <f t="shared" ca="1" si="1"/>
        <v>1963</v>
      </c>
    </row>
    <row r="190" spans="1:3" ht="15" customHeight="1" x14ac:dyDescent="0.2">
      <c r="A190" s="8" t="str">
        <f t="shared" ca="1" si="0"/>
        <v>time_yyyy</v>
      </c>
      <c r="B190" s="8">
        <f ca="1">IF(COUNT(B$182:B189)&gt;(survey!G$9-survey!G$8+2),IF(COUNTIF(B$182:B189,7777)=0,7777,"Formula"),B189+1)</f>
        <v>1964</v>
      </c>
      <c r="C190" s="9">
        <f t="shared" ca="1" si="1"/>
        <v>1964</v>
      </c>
    </row>
    <row r="191" spans="1:3" ht="15" customHeight="1" x14ac:dyDescent="0.2">
      <c r="A191" s="8" t="str">
        <f t="shared" ca="1" si="0"/>
        <v>time_yyyy</v>
      </c>
      <c r="B191" s="8">
        <f ca="1">IF(COUNT(B$182:B190)&gt;(survey!G$9-survey!G$8+2),IF(COUNTIF(B$182:B190,7777)=0,7777,"Formula"),B190+1)</f>
        <v>1965</v>
      </c>
      <c r="C191" s="9">
        <f t="shared" ca="1" si="1"/>
        <v>1965</v>
      </c>
    </row>
    <row r="192" spans="1:3" ht="15" customHeight="1" x14ac:dyDescent="0.2">
      <c r="A192" s="8" t="str">
        <f t="shared" ca="1" si="0"/>
        <v>time_yyyy</v>
      </c>
      <c r="B192" s="8">
        <f ca="1">IF(COUNT(B$182:B191)&gt;(survey!G$9-survey!G$8+2),IF(COUNTIF(B$182:B191,7777)=0,7777,"Formula"),B191+1)</f>
        <v>1966</v>
      </c>
      <c r="C192" s="9">
        <f t="shared" ca="1" si="1"/>
        <v>1966</v>
      </c>
    </row>
    <row r="193" spans="1:3" ht="15" customHeight="1" x14ac:dyDescent="0.2">
      <c r="A193" s="8" t="str">
        <f t="shared" ca="1" si="0"/>
        <v>time_yyyy</v>
      </c>
      <c r="B193" s="8">
        <f ca="1">IF(COUNT(B$182:B192)&gt;(survey!G$9-survey!G$8+2),IF(COUNTIF(B$182:B192,7777)=0,7777,"Formula"),B192+1)</f>
        <v>1967</v>
      </c>
      <c r="C193" s="9">
        <f t="shared" ca="1" si="1"/>
        <v>1967</v>
      </c>
    </row>
    <row r="194" spans="1:3" ht="15" customHeight="1" x14ac:dyDescent="0.2">
      <c r="A194" s="8" t="str">
        <f t="shared" ca="1" si="0"/>
        <v>time_yyyy</v>
      </c>
      <c r="B194" s="8">
        <f ca="1">IF(COUNT(B$182:B193)&gt;(survey!G$9-survey!G$8+2),IF(COUNTIF(B$182:B193,7777)=0,7777,"Formula"),B193+1)</f>
        <v>1968</v>
      </c>
      <c r="C194" s="9">
        <f t="shared" ca="1" si="1"/>
        <v>1968</v>
      </c>
    </row>
    <row r="195" spans="1:3" ht="15" customHeight="1" x14ac:dyDescent="0.2">
      <c r="A195" s="8" t="str">
        <f t="shared" ca="1" si="0"/>
        <v>time_yyyy</v>
      </c>
      <c r="B195" s="8">
        <f ca="1">IF(COUNT(B$182:B194)&gt;(survey!G$9-survey!G$8+2),IF(COUNTIF(B$182:B194,7777)=0,7777,"Formula"),B194+1)</f>
        <v>1969</v>
      </c>
      <c r="C195" s="9">
        <f t="shared" ca="1" si="1"/>
        <v>1969</v>
      </c>
    </row>
    <row r="196" spans="1:3" ht="15" customHeight="1" x14ac:dyDescent="0.2">
      <c r="A196" s="8" t="str">
        <f t="shared" ca="1" si="0"/>
        <v>time_yyyy</v>
      </c>
      <c r="B196" s="8">
        <f ca="1">IF(COUNT(B$182:B195)&gt;(survey!G$9-survey!G$8+2),IF(COUNTIF(B$182:B195,7777)=0,7777,"Formula"),B195+1)</f>
        <v>1970</v>
      </c>
      <c r="C196" s="9">
        <f t="shared" ca="1" si="1"/>
        <v>1970</v>
      </c>
    </row>
    <row r="197" spans="1:3" ht="15" customHeight="1" x14ac:dyDescent="0.2">
      <c r="A197" s="8" t="str">
        <f t="shared" ca="1" si="0"/>
        <v>time_yyyy</v>
      </c>
      <c r="B197" s="8">
        <f ca="1">IF(COUNT(B$182:B196)&gt;(survey!G$9-survey!G$8+2),IF(COUNTIF(B$182:B196,7777)=0,7777,"Formula"),B196+1)</f>
        <v>1971</v>
      </c>
      <c r="C197" s="9">
        <f t="shared" ca="1" si="1"/>
        <v>1971</v>
      </c>
    </row>
    <row r="198" spans="1:3" ht="15" customHeight="1" x14ac:dyDescent="0.2">
      <c r="A198" s="8" t="str">
        <f t="shared" ca="1" si="0"/>
        <v>time_yyyy</v>
      </c>
      <c r="B198" s="8">
        <f ca="1">IF(COUNT(B$182:B197)&gt;(survey!G$9-survey!G$8+2),IF(COUNTIF(B$182:B197,7777)=0,7777,"Formula"),B197+1)</f>
        <v>1972</v>
      </c>
      <c r="C198" s="9">
        <f t="shared" ca="1" si="1"/>
        <v>1972</v>
      </c>
    </row>
    <row r="199" spans="1:3" ht="15" customHeight="1" x14ac:dyDescent="0.2">
      <c r="A199" s="8" t="str">
        <f t="shared" ca="1" si="0"/>
        <v>time_yyyy</v>
      </c>
      <c r="B199" s="8">
        <f ca="1">IF(COUNT(B$182:B198)&gt;(survey!G$9-survey!G$8+2),IF(COUNTIF(B$182:B198,7777)=0,7777,"Formula"),B198+1)</f>
        <v>1973</v>
      </c>
      <c r="C199" s="9">
        <f t="shared" ca="1" si="1"/>
        <v>1973</v>
      </c>
    </row>
    <row r="200" spans="1:3" ht="15" customHeight="1" x14ac:dyDescent="0.2">
      <c r="A200" s="8" t="str">
        <f t="shared" ca="1" si="0"/>
        <v>time_yyyy</v>
      </c>
      <c r="B200" s="8">
        <f ca="1">IF(COUNT(B$182:B199)&gt;(survey!G$9-survey!G$8+2),IF(COUNTIF(B$182:B199,7777)=0,7777,"Formula"),B199+1)</f>
        <v>1974</v>
      </c>
      <c r="C200" s="9">
        <f t="shared" ca="1" si="1"/>
        <v>1974</v>
      </c>
    </row>
    <row r="201" spans="1:3" ht="15" customHeight="1" x14ac:dyDescent="0.2">
      <c r="A201" s="8" t="str">
        <f t="shared" ca="1" si="0"/>
        <v>time_yyyy</v>
      </c>
      <c r="B201" s="8">
        <f ca="1">IF(COUNT(B$182:B200)&gt;(survey!G$9-survey!G$8+2),IF(COUNTIF(B$182:B200,7777)=0,7777,"Formula"),B200+1)</f>
        <v>1975</v>
      </c>
      <c r="C201" s="9">
        <f t="shared" ca="1" si="1"/>
        <v>1975</v>
      </c>
    </row>
    <row r="202" spans="1:3" ht="15" customHeight="1" x14ac:dyDescent="0.2">
      <c r="A202" s="8" t="str">
        <f t="shared" ca="1" si="0"/>
        <v>time_yyyy</v>
      </c>
      <c r="B202" s="8">
        <f ca="1">IF(COUNT(B$182:B201)&gt;(survey!G$9-survey!G$8+2),IF(COUNTIF(B$182:B201,7777)=0,7777,"Formula"),B201+1)</f>
        <v>1976</v>
      </c>
      <c r="C202" s="9">
        <f t="shared" ca="1" si="1"/>
        <v>1976</v>
      </c>
    </row>
    <row r="203" spans="1:3" ht="15" customHeight="1" x14ac:dyDescent="0.2">
      <c r="A203" s="8" t="str">
        <f t="shared" ca="1" si="0"/>
        <v>time_yyyy</v>
      </c>
      <c r="B203" s="8">
        <f ca="1">IF(COUNT(B$182:B202)&gt;(survey!G$9-survey!G$8+2),IF(COUNTIF(B$182:B202,7777)=0,7777,"Formula"),B202+1)</f>
        <v>1977</v>
      </c>
      <c r="C203" s="9">
        <f t="shared" ca="1" si="1"/>
        <v>1977</v>
      </c>
    </row>
    <row r="204" spans="1:3" ht="15" customHeight="1" x14ac:dyDescent="0.2">
      <c r="A204" s="8" t="str">
        <f t="shared" ca="1" si="0"/>
        <v>time_yyyy</v>
      </c>
      <c r="B204" s="8">
        <f ca="1">IF(COUNT(B$182:B203)&gt;(survey!G$9-survey!G$8+2),IF(COUNTIF(B$182:B203,7777)=0,7777,"Formula"),B203+1)</f>
        <v>1978</v>
      </c>
      <c r="C204" s="9">
        <f t="shared" ca="1" si="1"/>
        <v>1978</v>
      </c>
    </row>
    <row r="205" spans="1:3" ht="15" customHeight="1" x14ac:dyDescent="0.2">
      <c r="A205" s="8" t="str">
        <f t="shared" ca="1" si="0"/>
        <v>time_yyyy</v>
      </c>
      <c r="B205" s="8">
        <f ca="1">IF(COUNT(B$182:B204)&gt;(survey!G$9-survey!G$8+2),IF(COUNTIF(B$182:B204,7777)=0,7777,"Formula"),B204+1)</f>
        <v>1979</v>
      </c>
      <c r="C205" s="9">
        <f t="shared" ca="1" si="1"/>
        <v>1979</v>
      </c>
    </row>
    <row r="206" spans="1:3" ht="15" customHeight="1" x14ac:dyDescent="0.2">
      <c r="A206" s="8" t="str">
        <f t="shared" ca="1" si="0"/>
        <v>time_yyyy</v>
      </c>
      <c r="B206" s="8">
        <f ca="1">IF(COUNT(B$182:B205)&gt;(survey!G$9-survey!G$8+2),IF(COUNTIF(B$182:B205,7777)=0,7777,"Formula"),B205+1)</f>
        <v>1980</v>
      </c>
      <c r="C206" s="9">
        <f t="shared" ca="1" si="1"/>
        <v>1980</v>
      </c>
    </row>
    <row r="207" spans="1:3" ht="15" customHeight="1" x14ac:dyDescent="0.2">
      <c r="A207" s="8" t="str">
        <f t="shared" ca="1" si="0"/>
        <v>time_yyyy</v>
      </c>
      <c r="B207" s="8">
        <f ca="1">IF(COUNT(B$182:B206)&gt;(survey!G$9-survey!G$8+2),IF(COUNTIF(B$182:B206,7777)=0,7777,"Formula"),B206+1)</f>
        <v>1981</v>
      </c>
      <c r="C207" s="9">
        <f t="shared" ca="1" si="1"/>
        <v>1981</v>
      </c>
    </row>
    <row r="208" spans="1:3" ht="15" customHeight="1" x14ac:dyDescent="0.2">
      <c r="A208" s="8" t="str">
        <f t="shared" ca="1" si="0"/>
        <v>time_yyyy</v>
      </c>
      <c r="B208" s="8">
        <f ca="1">IF(COUNT(B$182:B207)&gt;(survey!G$9-survey!G$8+2),IF(COUNTIF(B$182:B207,7777)=0,7777,"Formula"),B207+1)</f>
        <v>1982</v>
      </c>
      <c r="C208" s="9">
        <f t="shared" ca="1" si="1"/>
        <v>1982</v>
      </c>
    </row>
    <row r="209" spans="1:3" ht="15" customHeight="1" x14ac:dyDescent="0.2">
      <c r="A209" s="8" t="str">
        <f t="shared" ca="1" si="0"/>
        <v>time_yyyy</v>
      </c>
      <c r="B209" s="8">
        <f ca="1">IF(COUNT(B$182:B208)&gt;(survey!G$9-survey!G$8+2),IF(COUNTIF(B$182:B208,7777)=0,7777,"Formula"),B208+1)</f>
        <v>1983</v>
      </c>
      <c r="C209" s="9">
        <f t="shared" ca="1" si="1"/>
        <v>1983</v>
      </c>
    </row>
    <row r="210" spans="1:3" ht="15" customHeight="1" x14ac:dyDescent="0.2">
      <c r="A210" s="8" t="str">
        <f t="shared" ca="1" si="0"/>
        <v>time_yyyy</v>
      </c>
      <c r="B210" s="8">
        <f ca="1">IF(COUNT(B$182:B209)&gt;(survey!G$9-survey!G$8+2),IF(COUNTIF(B$182:B209,7777)=0,7777,"Formula"),B209+1)</f>
        <v>1984</v>
      </c>
      <c r="C210" s="9">
        <f t="shared" ca="1" si="1"/>
        <v>1984</v>
      </c>
    </row>
    <row r="211" spans="1:3" ht="15" customHeight="1" x14ac:dyDescent="0.2">
      <c r="A211" s="8" t="str">
        <f t="shared" ca="1" si="0"/>
        <v>time_yyyy</v>
      </c>
      <c r="B211" s="8">
        <f ca="1">IF(COUNT(B$182:B210)&gt;(survey!G$9-survey!G$8+2),IF(COUNTIF(B$182:B210,7777)=0,7777,"Formula"),B210+1)</f>
        <v>1985</v>
      </c>
      <c r="C211" s="9">
        <f t="shared" ca="1" si="1"/>
        <v>1985</v>
      </c>
    </row>
    <row r="212" spans="1:3" ht="15" customHeight="1" x14ac:dyDescent="0.2">
      <c r="A212" s="8" t="str">
        <f t="shared" ca="1" si="0"/>
        <v>time_yyyy</v>
      </c>
      <c r="B212" s="8">
        <f ca="1">IF(COUNT(B$182:B211)&gt;(survey!G$9-survey!G$8+2),IF(COUNTIF(B$182:B211,7777)=0,7777,"Formula"),B211+1)</f>
        <v>1986</v>
      </c>
      <c r="C212" s="9">
        <f t="shared" ca="1" si="1"/>
        <v>1986</v>
      </c>
    </row>
    <row r="213" spans="1:3" ht="15" customHeight="1" x14ac:dyDescent="0.2">
      <c r="A213" s="8" t="str">
        <f t="shared" ca="1" si="0"/>
        <v>time_yyyy</v>
      </c>
      <c r="B213" s="8">
        <f ca="1">IF(COUNT(B$182:B212)&gt;(survey!G$9-survey!G$8+2),IF(COUNTIF(B$182:B212,7777)=0,7777,"Formula"),B212+1)</f>
        <v>1987</v>
      </c>
      <c r="C213" s="9">
        <f t="shared" ca="1" si="1"/>
        <v>1987</v>
      </c>
    </row>
    <row r="214" spans="1:3" ht="15" customHeight="1" x14ac:dyDescent="0.2">
      <c r="A214" s="8" t="str">
        <f t="shared" ca="1" si="0"/>
        <v>time_yyyy</v>
      </c>
      <c r="B214" s="8">
        <f ca="1">IF(COUNT(B$182:B213)&gt;(survey!G$9-survey!G$8+2),IF(COUNTIF(B$182:B213,7777)=0,7777,"Formula"),B213+1)</f>
        <v>1988</v>
      </c>
      <c r="C214" s="9">
        <f t="shared" ca="1" si="1"/>
        <v>1988</v>
      </c>
    </row>
    <row r="215" spans="1:3" ht="15" customHeight="1" x14ac:dyDescent="0.2">
      <c r="A215" s="8" t="str">
        <f t="shared" ca="1" si="0"/>
        <v>time_yyyy</v>
      </c>
      <c r="B215" s="8">
        <f ca="1">IF(COUNT(B$182:B214)&gt;(survey!G$9-survey!G$8+2),IF(COUNTIF(B$182:B214,7777)=0,7777,"Formula"),B214+1)</f>
        <v>1989</v>
      </c>
      <c r="C215" s="9">
        <f t="shared" ca="1" si="1"/>
        <v>1989</v>
      </c>
    </row>
    <row r="216" spans="1:3" ht="15" customHeight="1" x14ac:dyDescent="0.2">
      <c r="A216" s="8" t="str">
        <f t="shared" ca="1" si="0"/>
        <v>time_yyyy</v>
      </c>
      <c r="B216" s="8">
        <f ca="1">IF(COUNT(B$182:B215)&gt;(survey!G$9-survey!G$8+2),IF(COUNTIF(B$182:B215,7777)=0,7777,"Formula"),B215+1)</f>
        <v>1990</v>
      </c>
      <c r="C216" s="9">
        <f t="shared" ca="1" si="1"/>
        <v>1990</v>
      </c>
    </row>
    <row r="217" spans="1:3" ht="15" customHeight="1" x14ac:dyDescent="0.2">
      <c r="A217" s="8" t="str">
        <f t="shared" ca="1" si="0"/>
        <v>time_yyyy</v>
      </c>
      <c r="B217" s="8">
        <f ca="1">IF(COUNT(B$182:B216)&gt;(survey!G$9-survey!G$8+2),IF(COUNTIF(B$182:B216,7777)=0,7777,"Formula"),B216+1)</f>
        <v>1991</v>
      </c>
      <c r="C217" s="9">
        <f t="shared" ca="1" si="1"/>
        <v>1991</v>
      </c>
    </row>
    <row r="218" spans="1:3" ht="15" customHeight="1" x14ac:dyDescent="0.2">
      <c r="A218" s="8" t="str">
        <f t="shared" ca="1" si="0"/>
        <v>time_yyyy</v>
      </c>
      <c r="B218" s="8">
        <f ca="1">IF(COUNT(B$182:B217)&gt;(survey!G$9-survey!G$8+2),IF(COUNTIF(B$182:B217,7777)=0,7777,"Formula"),B217+1)</f>
        <v>1992</v>
      </c>
      <c r="C218" s="9">
        <f t="shared" ca="1" si="1"/>
        <v>1992</v>
      </c>
    </row>
    <row r="219" spans="1:3" ht="15" customHeight="1" x14ac:dyDescent="0.2">
      <c r="A219" s="8" t="str">
        <f t="shared" ca="1" si="0"/>
        <v>time_yyyy</v>
      </c>
      <c r="B219" s="8">
        <f ca="1">IF(COUNT(B$182:B218)&gt;(survey!G$9-survey!G$8+2),IF(COUNTIF(B$182:B218,7777)=0,7777,"Formula"),B218+1)</f>
        <v>1993</v>
      </c>
      <c r="C219" s="9">
        <f t="shared" ca="1" si="1"/>
        <v>1993</v>
      </c>
    </row>
    <row r="220" spans="1:3" ht="15" customHeight="1" x14ac:dyDescent="0.2">
      <c r="A220" s="8" t="str">
        <f t="shared" ca="1" si="0"/>
        <v>time_yyyy</v>
      </c>
      <c r="B220" s="8">
        <f ca="1">IF(COUNT(B$182:B219)&gt;(survey!G$9-survey!G$8+2),IF(COUNTIF(B$182:B219,7777)=0,7777,"Formula"),B219+1)</f>
        <v>1994</v>
      </c>
      <c r="C220" s="9">
        <f t="shared" ca="1" si="1"/>
        <v>1994</v>
      </c>
    </row>
    <row r="221" spans="1:3" ht="15" customHeight="1" x14ac:dyDescent="0.2">
      <c r="A221" s="8" t="str">
        <f t="shared" ca="1" si="0"/>
        <v>time_yyyy</v>
      </c>
      <c r="B221" s="8">
        <f ca="1">IF(COUNT(B$182:B220)&gt;(survey!G$9-survey!G$8+2),IF(COUNTIF(B$182:B220,7777)=0,7777,"Formula"),B220+1)</f>
        <v>1995</v>
      </c>
      <c r="C221" s="9">
        <f t="shared" ca="1" si="1"/>
        <v>1995</v>
      </c>
    </row>
    <row r="222" spans="1:3" ht="15" customHeight="1" x14ac:dyDescent="0.2">
      <c r="A222" s="8" t="str">
        <f t="shared" ca="1" si="0"/>
        <v>time_yyyy</v>
      </c>
      <c r="B222" s="8">
        <f ca="1">IF(COUNT(B$182:B221)&gt;(survey!G$9-survey!G$8+2),IF(COUNTIF(B$182:B221,7777)=0,7777,"Formula"),B221+1)</f>
        <v>1996</v>
      </c>
      <c r="C222" s="9">
        <f t="shared" ca="1" si="1"/>
        <v>1996</v>
      </c>
    </row>
    <row r="223" spans="1:3" ht="15" customHeight="1" x14ac:dyDescent="0.2">
      <c r="A223" s="8" t="str">
        <f t="shared" ca="1" si="0"/>
        <v>time_yyyy</v>
      </c>
      <c r="B223" s="8">
        <f ca="1">IF(COUNT(B$182:B222)&gt;(survey!G$9-survey!G$8+2),IF(COUNTIF(B$182:B222,7777)=0,7777,"Formula"),B222+1)</f>
        <v>1997</v>
      </c>
      <c r="C223" s="9">
        <f t="shared" ca="1" si="1"/>
        <v>1997</v>
      </c>
    </row>
    <row r="224" spans="1:3" ht="15" customHeight="1" x14ac:dyDescent="0.2">
      <c r="A224" s="8" t="str">
        <f t="shared" ca="1" si="0"/>
        <v>time_yyyy</v>
      </c>
      <c r="B224" s="8">
        <f ca="1">IF(COUNT(B$182:B223)&gt;(survey!G$9-survey!G$8+2),IF(COUNTIF(B$182:B223,7777)=0,7777,"Formula"),B223+1)</f>
        <v>1998</v>
      </c>
      <c r="C224" s="9">
        <f t="shared" ca="1" si="1"/>
        <v>1998</v>
      </c>
    </row>
    <row r="225" spans="1:3" ht="15" customHeight="1" x14ac:dyDescent="0.2">
      <c r="A225" s="8" t="str">
        <f t="shared" ca="1" si="0"/>
        <v>time_yyyy</v>
      </c>
      <c r="B225" s="8">
        <f ca="1">IF(COUNT(B$182:B224)&gt;(survey!G$9-survey!G$8+2),IF(COUNTIF(B$182:B224,7777)=0,7777,"Formula"),B224+1)</f>
        <v>1999</v>
      </c>
      <c r="C225" s="9">
        <f t="shared" ca="1" si="1"/>
        <v>1999</v>
      </c>
    </row>
    <row r="226" spans="1:3" ht="15" customHeight="1" x14ac:dyDescent="0.2">
      <c r="A226" s="8" t="str">
        <f t="shared" ca="1" si="0"/>
        <v>time_yyyy</v>
      </c>
      <c r="B226" s="8">
        <f ca="1">IF(COUNT(B$182:B225)&gt;(survey!G$9-survey!G$8+2),IF(COUNTIF(B$182:B225,7777)=0,7777,"Formula"),B225+1)</f>
        <v>2000</v>
      </c>
      <c r="C226" s="9">
        <f t="shared" ca="1" si="1"/>
        <v>2000</v>
      </c>
    </row>
    <row r="227" spans="1:3" ht="15" customHeight="1" x14ac:dyDescent="0.2">
      <c r="A227" s="8" t="str">
        <f t="shared" ca="1" si="0"/>
        <v>time_yyyy</v>
      </c>
      <c r="B227" s="8">
        <f ca="1">IF(COUNT(B$182:B226)&gt;(survey!G$9-survey!G$8+2),IF(COUNTIF(B$182:B226,7777)=0,7777,"Formula"),B226+1)</f>
        <v>2001</v>
      </c>
      <c r="C227" s="9">
        <f t="shared" ca="1" si="1"/>
        <v>2001</v>
      </c>
    </row>
    <row r="228" spans="1:3" ht="15" customHeight="1" x14ac:dyDescent="0.2">
      <c r="A228" s="8" t="str">
        <f t="shared" ca="1" si="0"/>
        <v>time_yyyy</v>
      </c>
      <c r="B228" s="8">
        <f ca="1">IF(COUNT(B$182:B227)&gt;(survey!G$9-survey!G$8+2),IF(COUNTIF(B$182:B227,7777)=0,7777,"Formula"),B227+1)</f>
        <v>2002</v>
      </c>
      <c r="C228" s="9">
        <f t="shared" ca="1" si="1"/>
        <v>2002</v>
      </c>
    </row>
    <row r="229" spans="1:3" ht="15" customHeight="1" x14ac:dyDescent="0.2">
      <c r="A229" s="8" t="str">
        <f t="shared" ca="1" si="0"/>
        <v>time_yyyy</v>
      </c>
      <c r="B229" s="8">
        <f ca="1">IF(COUNT(B$182:B228)&gt;(survey!G$9-survey!G$8+2),IF(COUNTIF(B$182:B228,7777)=0,7777,"Formula"),B228+1)</f>
        <v>2003</v>
      </c>
      <c r="C229" s="9">
        <f t="shared" ca="1" si="1"/>
        <v>2003</v>
      </c>
    </row>
    <row r="230" spans="1:3" ht="15" customHeight="1" x14ac:dyDescent="0.2">
      <c r="A230" s="8" t="str">
        <f t="shared" ca="1" si="0"/>
        <v>time_yyyy</v>
      </c>
      <c r="B230" s="8">
        <f ca="1">IF(COUNT(B$182:B229)&gt;(survey!G$9-survey!G$8+2),IF(COUNTIF(B$182:B229,7777)=0,7777,"Formula"),B229+1)</f>
        <v>2004</v>
      </c>
      <c r="C230" s="9">
        <f t="shared" ca="1" si="1"/>
        <v>2004</v>
      </c>
    </row>
    <row r="231" spans="1:3" ht="15" customHeight="1" x14ac:dyDescent="0.2">
      <c r="A231" s="8" t="str">
        <f t="shared" ca="1" si="0"/>
        <v>time_yyyy</v>
      </c>
      <c r="B231" s="8">
        <f ca="1">IF(COUNT(B$182:B230)&gt;(survey!G$9-survey!G$8+2),IF(COUNTIF(B$182:B230,7777)=0,7777,"Formula"),B230+1)</f>
        <v>2005</v>
      </c>
      <c r="C231" s="9">
        <f t="shared" ca="1" si="1"/>
        <v>2005</v>
      </c>
    </row>
    <row r="232" spans="1:3" ht="15" customHeight="1" x14ac:dyDescent="0.2">
      <c r="A232" s="8" t="str">
        <f t="shared" ca="1" si="0"/>
        <v>time_yyyy</v>
      </c>
      <c r="B232" s="8">
        <f ca="1">IF(COUNT(B$182:B231)&gt;(survey!G$9-survey!G$8+2),IF(COUNTIF(B$182:B231,7777)=0,7777,"Formula"),B231+1)</f>
        <v>2006</v>
      </c>
      <c r="C232" s="9">
        <f t="shared" ca="1" si="1"/>
        <v>2006</v>
      </c>
    </row>
    <row r="233" spans="1:3" ht="15" customHeight="1" x14ac:dyDescent="0.2">
      <c r="A233" s="8" t="str">
        <f t="shared" ca="1" si="0"/>
        <v>time_yyyy</v>
      </c>
      <c r="B233" s="8">
        <f ca="1">IF(COUNT(B$182:B232)&gt;(survey!G$9-survey!G$8+2),IF(COUNTIF(B$182:B232,7777)=0,7777,"Formula"),B232+1)</f>
        <v>2007</v>
      </c>
      <c r="C233" s="9">
        <f t="shared" ca="1" si="1"/>
        <v>2007</v>
      </c>
    </row>
    <row r="234" spans="1:3" ht="15" customHeight="1" x14ac:dyDescent="0.2">
      <c r="A234" s="8" t="str">
        <f t="shared" ca="1" si="0"/>
        <v>time_yyyy</v>
      </c>
      <c r="B234" s="8">
        <f ca="1">IF(COUNT(B$182:B233)&gt;(survey!G$9-survey!G$8+2),IF(COUNTIF(B$182:B233,7777)=0,7777,"Formula"),B233+1)</f>
        <v>2008</v>
      </c>
      <c r="C234" s="9">
        <f t="shared" ca="1" si="1"/>
        <v>2008</v>
      </c>
    </row>
    <row r="235" spans="1:3" ht="15" customHeight="1" x14ac:dyDescent="0.2">
      <c r="A235" s="8" t="str">
        <f t="shared" ca="1" si="0"/>
        <v>time_yyyy</v>
      </c>
      <c r="B235" s="8">
        <f ca="1">IF(COUNT(B$182:B234)&gt;(survey!G$9-survey!G$8+2),IF(COUNTIF(B$182:B234,7777)=0,7777,"Formula"),B234+1)</f>
        <v>2009</v>
      </c>
      <c r="C235" s="9">
        <f t="shared" ca="1" si="1"/>
        <v>2009</v>
      </c>
    </row>
    <row r="236" spans="1:3" ht="15" customHeight="1" x14ac:dyDescent="0.2">
      <c r="A236" s="8" t="str">
        <f t="shared" ca="1" si="0"/>
        <v>time_yyyy</v>
      </c>
      <c r="B236" s="8">
        <f ca="1">IF(COUNT(B$182:B235)&gt;(survey!G$9-survey!G$8+2),IF(COUNTIF(B$182:B235,7777)=0,7777,"Formula"),B235+1)</f>
        <v>7777</v>
      </c>
      <c r="C236" s="9" t="str">
        <f t="shared" ca="1" si="1"/>
        <v>Don't know</v>
      </c>
    </row>
    <row r="237" spans="1:3" ht="15" customHeight="1" x14ac:dyDescent="0.2">
      <c r="A237" s="8" t="str">
        <f t="shared" ca="1" si="0"/>
        <v/>
      </c>
      <c r="B237" s="8" t="str">
        <f ca="1">IF(COUNT(B$182:B236)&gt;(survey!G$9-survey!G$8+2),IF(COUNTIF(B$182:B236,7777)=0,7777,"Formula"),B236+1)</f>
        <v>Formula</v>
      </c>
      <c r="C237" s="9" t="str">
        <f t="shared" ca="1" si="1"/>
        <v>Formula</v>
      </c>
    </row>
    <row r="238" spans="1:3" ht="15" customHeight="1" x14ac:dyDescent="0.2">
      <c r="A238" s="8" t="str">
        <f t="shared" ca="1" si="0"/>
        <v/>
      </c>
      <c r="B238" s="8" t="str">
        <f ca="1">IF(COUNT(B$182:B237)&gt;(survey!G$9-survey!G$8+2),IF(COUNTIF(B$182:B237,7777)=0,7777,"Formula"),B237+1)</f>
        <v>Formula</v>
      </c>
      <c r="C238" s="9" t="str">
        <f t="shared" ca="1" si="1"/>
        <v>Formula</v>
      </c>
    </row>
    <row r="239" spans="1:3" ht="15" customHeight="1" x14ac:dyDescent="0.2">
      <c r="A239" s="8" t="str">
        <f t="shared" ref="A239:A257" ca="1" si="2">IF(OR(B239="", B239="Formula"),"","time_yyyy")</f>
        <v/>
      </c>
      <c r="B239" s="8" t="str">
        <f ca="1">IF(COUNT(B$182:B238)&gt;(survey!G$9-survey!G$8+2),IF(COUNTIF(B$182:B238,7777)=0,7777,"Formula"),B238+1)</f>
        <v>Formula</v>
      </c>
      <c r="C239" s="9" t="str">
        <f t="shared" ca="1" si="1"/>
        <v>Formula</v>
      </c>
    </row>
    <row r="240" spans="1:3" ht="15" customHeight="1" x14ac:dyDescent="0.2">
      <c r="A240" s="8" t="str">
        <f t="shared" ca="1" si="2"/>
        <v/>
      </c>
      <c r="B240" s="8" t="str">
        <f ca="1">IF(COUNT(B$182:B239)&gt;(survey!G$9-survey!G$8+2),IF(COUNTIF(B$182:B239,7777)=0,7777,"Formula"),B239+1)</f>
        <v>Formula</v>
      </c>
      <c r="C240" s="9" t="str">
        <f t="shared" ca="1" si="1"/>
        <v>Formula</v>
      </c>
    </row>
    <row r="241" spans="1:3" ht="15" customHeight="1" x14ac:dyDescent="0.2">
      <c r="A241" s="8" t="str">
        <f t="shared" ca="1" si="2"/>
        <v/>
      </c>
      <c r="B241" s="8" t="str">
        <f ca="1">IF(COUNT(B$182:B240)&gt;(survey!G$9-survey!G$8+2),IF(COUNTIF(B$182:B240,7777)=0,7777,"Formula"),B240+1)</f>
        <v>Formula</v>
      </c>
      <c r="C241" s="9" t="str">
        <f t="shared" ca="1" si="1"/>
        <v>Formula</v>
      </c>
    </row>
    <row r="242" spans="1:3" ht="15" customHeight="1" x14ac:dyDescent="0.2">
      <c r="A242" s="8" t="str">
        <f t="shared" ca="1" si="2"/>
        <v/>
      </c>
      <c r="B242" s="8" t="str">
        <f ca="1">IF(COUNT(B$182:B241)&gt;(survey!G$9-survey!G$8+2),IF(COUNTIF(B$182:B241,7777)=0,7777,"Formula"),B241+1)</f>
        <v>Formula</v>
      </c>
      <c r="C242" s="9" t="str">
        <f t="shared" ca="1" si="1"/>
        <v>Formula</v>
      </c>
    </row>
    <row r="243" spans="1:3" ht="15" customHeight="1" x14ac:dyDescent="0.2">
      <c r="A243" s="8" t="str">
        <f t="shared" ca="1" si="2"/>
        <v/>
      </c>
      <c r="B243" s="8" t="str">
        <f ca="1">IF(COUNT(B$182:B242)&gt;(survey!G$9-survey!G$8+2),IF(COUNTIF(B$182:B242,7777)=0,7777,"Formula"),B242+1)</f>
        <v>Formula</v>
      </c>
      <c r="C243" s="9" t="str">
        <f t="shared" ca="1" si="1"/>
        <v>Formula</v>
      </c>
    </row>
    <row r="244" spans="1:3" ht="15" customHeight="1" x14ac:dyDescent="0.2">
      <c r="A244" s="8" t="str">
        <f t="shared" ca="1" si="2"/>
        <v/>
      </c>
      <c r="B244" s="8" t="str">
        <f ca="1">IF(COUNT(B$182:B243)&gt;(survey!G$9-survey!G$8+2),IF(COUNTIF(B$182:B243,7777)=0,7777,"Formula"),B243+1)</f>
        <v>Formula</v>
      </c>
      <c r="C244" s="9" t="str">
        <f t="shared" ca="1" si="1"/>
        <v>Formula</v>
      </c>
    </row>
    <row r="245" spans="1:3" ht="15" customHeight="1" x14ac:dyDescent="0.2">
      <c r="A245" s="8" t="str">
        <f t="shared" ca="1" si="2"/>
        <v/>
      </c>
      <c r="B245" s="8" t="str">
        <f ca="1">IF(COUNT(B$182:B244)&gt;(survey!G$9-survey!G$8+2),IF(COUNTIF(B$182:B244,7777)=0,7777,"Formula"),B244+1)</f>
        <v>Formula</v>
      </c>
      <c r="C245" s="9" t="str">
        <f t="shared" ca="1" si="1"/>
        <v>Formula</v>
      </c>
    </row>
    <row r="246" spans="1:3" ht="15" customHeight="1" x14ac:dyDescent="0.2">
      <c r="A246" s="8" t="str">
        <f t="shared" ca="1" si="2"/>
        <v/>
      </c>
      <c r="B246" s="8" t="str">
        <f ca="1">IF(COUNT(B$182:B245)&gt;(survey!G$9-survey!G$8+2),IF(COUNTIF(B$182:B245,7777)=0,7777,"Formula"),B245+1)</f>
        <v>Formula</v>
      </c>
      <c r="C246" s="9" t="str">
        <f t="shared" ca="1" si="1"/>
        <v>Formula</v>
      </c>
    </row>
    <row r="247" spans="1:3" ht="15" customHeight="1" x14ac:dyDescent="0.2">
      <c r="A247" s="8" t="str">
        <f t="shared" ca="1" si="2"/>
        <v/>
      </c>
      <c r="B247" s="8" t="str">
        <f ca="1">IF(COUNT(B$182:B246)&gt;(survey!G$9-survey!G$8+2),IF(COUNTIF(B$182:B246,7777)=0,7777,"Formula"),B246+1)</f>
        <v>Formula</v>
      </c>
      <c r="C247" s="9" t="str">
        <f t="shared" ref="C247:C258" ca="1" si="3">IF(B247=7777,"Don't know",B247)</f>
        <v>Formula</v>
      </c>
    </row>
    <row r="248" spans="1:3" ht="15" customHeight="1" x14ac:dyDescent="0.2">
      <c r="A248" s="8" t="str">
        <f t="shared" ca="1" si="2"/>
        <v/>
      </c>
      <c r="B248" s="8" t="str">
        <f ca="1">IF(COUNT(B$182:B247)&gt;(survey!G$9-survey!G$8+2),IF(COUNTIF(B$182:B247,7777)=0,7777,"Formula"),B247+1)</f>
        <v>Formula</v>
      </c>
      <c r="C248" s="9" t="str">
        <f t="shared" ca="1" si="3"/>
        <v>Formula</v>
      </c>
    </row>
    <row r="249" spans="1:3" ht="15" customHeight="1" x14ac:dyDescent="0.2">
      <c r="A249" s="8" t="str">
        <f t="shared" ca="1" si="2"/>
        <v/>
      </c>
      <c r="B249" s="8" t="str">
        <f ca="1">IF(COUNT(B$182:B248)&gt;(survey!G$9-survey!G$8+2),IF(COUNTIF(B$182:B248,7777)=0,7777,"Formula"),B248+1)</f>
        <v>Formula</v>
      </c>
      <c r="C249" s="9" t="str">
        <f t="shared" ca="1" si="3"/>
        <v>Formula</v>
      </c>
    </row>
    <row r="250" spans="1:3" ht="15" customHeight="1" x14ac:dyDescent="0.2">
      <c r="A250" s="8" t="str">
        <f t="shared" ca="1" si="2"/>
        <v/>
      </c>
      <c r="B250" s="8" t="str">
        <f ca="1">IF(COUNT(B$182:B249)&gt;(survey!G$9-survey!G$8+2),IF(COUNTIF(B$182:B249,7777)=0,7777,"Formula"),B249+1)</f>
        <v>Formula</v>
      </c>
      <c r="C250" s="9" t="str">
        <f t="shared" ca="1" si="3"/>
        <v>Formula</v>
      </c>
    </row>
    <row r="251" spans="1:3" ht="15" customHeight="1" x14ac:dyDescent="0.2">
      <c r="A251" s="8" t="str">
        <f t="shared" ca="1" si="2"/>
        <v/>
      </c>
      <c r="B251" s="8" t="str">
        <f ca="1">IF(COUNT(B$182:B250)&gt;(survey!G$9-survey!G$8+2),IF(COUNTIF(B$182:B250,7777)=0,7777,"Formula"),B250+1)</f>
        <v>Formula</v>
      </c>
      <c r="C251" s="9" t="str">
        <f t="shared" ca="1" si="3"/>
        <v>Formula</v>
      </c>
    </row>
    <row r="252" spans="1:3" ht="15" customHeight="1" x14ac:dyDescent="0.2">
      <c r="A252" s="8" t="str">
        <f t="shared" ca="1" si="2"/>
        <v/>
      </c>
      <c r="B252" s="8" t="str">
        <f ca="1">IF(COUNT(B$182:B251)&gt;(survey!G$9-survey!G$8+2),IF(COUNTIF(B$182:B251,7777)=0,7777,"Formula"),B251+1)</f>
        <v>Formula</v>
      </c>
      <c r="C252" s="9" t="str">
        <f t="shared" ca="1" si="3"/>
        <v>Formula</v>
      </c>
    </row>
    <row r="253" spans="1:3" ht="15" customHeight="1" x14ac:dyDescent="0.2">
      <c r="A253" s="8" t="str">
        <f t="shared" ca="1" si="2"/>
        <v/>
      </c>
      <c r="B253" s="8" t="str">
        <f ca="1">IF(COUNT(B$182:B252)&gt;(survey!G$9-survey!G$8+2),IF(COUNTIF(B$182:B252,7777)=0,7777,"Formula"),B252+1)</f>
        <v>Formula</v>
      </c>
      <c r="C253" s="9" t="str">
        <f t="shared" ca="1" si="3"/>
        <v>Formula</v>
      </c>
    </row>
    <row r="254" spans="1:3" ht="15" customHeight="1" x14ac:dyDescent="0.2">
      <c r="A254" s="8" t="str">
        <f t="shared" ca="1" si="2"/>
        <v/>
      </c>
      <c r="B254" s="8" t="str">
        <f ca="1">IF(COUNT(B$182:B253)&gt;(survey!G$9-survey!G$8+2),IF(COUNTIF(B$182:B253,7777)=0,7777,"Formula"),B253+1)</f>
        <v>Formula</v>
      </c>
      <c r="C254" s="9" t="str">
        <f t="shared" ca="1" si="3"/>
        <v>Formula</v>
      </c>
    </row>
    <row r="255" spans="1:3" ht="15" customHeight="1" x14ac:dyDescent="0.2">
      <c r="A255" s="8" t="str">
        <f t="shared" ca="1" si="2"/>
        <v/>
      </c>
      <c r="B255" s="8" t="str">
        <f ca="1">IF(COUNT(B$182:B254)&gt;(survey!G$9-survey!G$8+2),IF(COUNTIF(B$182:B254,7777)=0,7777,"Formula"),B254+1)</f>
        <v>Formula</v>
      </c>
      <c r="C255" s="9" t="str">
        <f t="shared" ca="1" si="3"/>
        <v>Formula</v>
      </c>
    </row>
    <row r="256" spans="1:3" ht="15" customHeight="1" x14ac:dyDescent="0.2">
      <c r="A256" s="8" t="str">
        <f t="shared" ca="1" si="2"/>
        <v/>
      </c>
      <c r="B256" s="8" t="str">
        <f ca="1">IF(COUNT(B$182:B255)&gt;(survey!G$9-survey!G$8+2),IF(COUNTIF(B$182:B255,7777)=0,7777,"Formula"),B255+1)</f>
        <v>Formula</v>
      </c>
      <c r="C256" s="9" t="str">
        <f t="shared" ca="1" si="3"/>
        <v>Formula</v>
      </c>
    </row>
    <row r="257" spans="1:3" ht="15" customHeight="1" x14ac:dyDescent="0.2">
      <c r="A257" s="8" t="str">
        <f t="shared" ca="1" si="2"/>
        <v/>
      </c>
      <c r="B257" s="8" t="str">
        <f ca="1">IF(COUNT(B$182:B256)&gt;(survey!G$9-survey!G$8+2),IF(COUNTIF(B$182:B256,7777)=0,7777,"Formula"),B256+1)</f>
        <v>Formula</v>
      </c>
      <c r="C257" s="9" t="str">
        <f t="shared" ca="1" si="3"/>
        <v>Formula</v>
      </c>
    </row>
    <row r="258" spans="1:3" ht="15" customHeight="1" x14ac:dyDescent="0.2">
      <c r="A258" s="8" t="str">
        <f ca="1">IF(OR(B258="", B258="Formula"),"","time_yyyy")</f>
        <v/>
      </c>
      <c r="B258" s="8" t="str">
        <f ca="1">IF(COUNT(B$182:B257)&gt;(survey!G$9-survey!G$8+2),IF(COUNTIF(B$182:B257,7777)=0,7777,"Formula"),B257+1)</f>
        <v>Formula</v>
      </c>
      <c r="C258" s="9" t="str">
        <f t="shared" ca="1" si="3"/>
        <v>Formula</v>
      </c>
    </row>
  </sheetData>
  <phoneticPr fontId="18"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8"/>
  <sheetViews>
    <sheetView topLeftCell="B1" workbookViewId="0">
      <selection activeCell="E1" sqref="E1:E2"/>
    </sheetView>
  </sheetViews>
  <sheetFormatPr defaultColWidth="17.28515625" defaultRowHeight="15" customHeight="1" x14ac:dyDescent="0.2"/>
  <cols>
    <col min="1" max="1" width="60.42578125" customWidth="1"/>
    <col min="2" max="2" width="46.7109375" customWidth="1"/>
    <col min="3" max="3" width="62.28515625" bestFit="1" customWidth="1"/>
    <col min="4" max="4" width="18.5703125" bestFit="1" customWidth="1"/>
    <col min="5" max="6" width="13.42578125" customWidth="1"/>
  </cols>
  <sheetData>
    <row r="1" spans="1:6" ht="15" customHeight="1" x14ac:dyDescent="0.2">
      <c r="A1" s="2" t="s">
        <v>32</v>
      </c>
      <c r="B1" s="2" t="s">
        <v>33</v>
      </c>
      <c r="C1" s="1" t="s">
        <v>34</v>
      </c>
      <c r="D1" s="1" t="s">
        <v>853</v>
      </c>
      <c r="E1" s="1"/>
      <c r="F1" s="1"/>
    </row>
    <row r="2" spans="1:6" ht="15" customHeight="1" x14ac:dyDescent="0.2">
      <c r="A2" s="2" t="s">
        <v>933</v>
      </c>
      <c r="B2" s="2" t="s">
        <v>1205</v>
      </c>
      <c r="C2" t="s">
        <v>854</v>
      </c>
      <c r="D2" s="1" t="s">
        <v>38</v>
      </c>
      <c r="E2" s="177"/>
      <c r="F2" s="1"/>
    </row>
    <row r="3" spans="1:6" ht="15" customHeight="1" x14ac:dyDescent="0.2">
      <c r="A3" s="2"/>
      <c r="B3" s="2"/>
      <c r="D3" s="1"/>
      <c r="E3" s="177"/>
      <c r="F3" s="1"/>
    </row>
    <row r="4" spans="1:6" ht="15" customHeight="1" x14ac:dyDescent="0.2">
      <c r="A4" s="2"/>
      <c r="B4" s="2"/>
      <c r="D4" s="1"/>
      <c r="E4" s="177"/>
      <c r="F4" s="1"/>
    </row>
    <row r="5" spans="1:6" ht="15" customHeight="1" x14ac:dyDescent="0.2">
      <c r="A5" s="2"/>
      <c r="B5" s="2"/>
      <c r="D5" s="1"/>
      <c r="E5" s="177"/>
      <c r="F5" s="1"/>
    </row>
    <row r="6" spans="1:6" ht="15" customHeight="1" x14ac:dyDescent="0.2">
      <c r="A6" s="2"/>
      <c r="B6" s="2"/>
      <c r="D6" s="1"/>
      <c r="E6" s="177"/>
      <c r="F6" s="1"/>
    </row>
    <row r="7" spans="1:6" ht="15" customHeight="1" x14ac:dyDescent="0.2">
      <c r="A7" s="2"/>
      <c r="B7" s="2"/>
      <c r="D7" s="1"/>
      <c r="E7" s="177"/>
      <c r="F7" s="1"/>
    </row>
    <row r="8" spans="1:6" ht="15" customHeight="1" x14ac:dyDescent="0.2">
      <c r="A8" s="2"/>
      <c r="B8" s="2"/>
      <c r="D8" s="1"/>
      <c r="E8" s="177"/>
      <c r="F8" s="1"/>
    </row>
    <row r="9" spans="1:6" ht="15" customHeight="1" x14ac:dyDescent="0.2">
      <c r="A9" s="2"/>
      <c r="B9" s="2"/>
      <c r="D9" s="1"/>
      <c r="E9" s="177"/>
      <c r="F9" s="1"/>
    </row>
    <row r="10" spans="1:6" ht="15" customHeight="1" x14ac:dyDescent="0.2">
      <c r="A10" s="2"/>
      <c r="B10" s="2"/>
      <c r="D10" s="1"/>
      <c r="E10" s="177"/>
      <c r="F10" s="1"/>
    </row>
    <row r="11" spans="1:6" ht="15" customHeight="1" x14ac:dyDescent="0.2">
      <c r="A11" s="2"/>
      <c r="B11" s="2"/>
      <c r="C11" s="1"/>
      <c r="D11" s="1"/>
      <c r="E11" s="1"/>
      <c r="F11" s="1"/>
    </row>
    <row r="12" spans="1:6" ht="15" customHeight="1" x14ac:dyDescent="0.2">
      <c r="A12" s="2"/>
      <c r="B12" s="2"/>
      <c r="C12" s="1"/>
      <c r="D12" s="1"/>
      <c r="E12" s="1"/>
      <c r="F12" s="1"/>
    </row>
    <row r="13" spans="1:6" ht="15" customHeight="1" x14ac:dyDescent="0.2">
      <c r="A13" s="2"/>
      <c r="B13" s="2"/>
      <c r="C13" s="1"/>
      <c r="D13" s="1"/>
      <c r="E13" s="178"/>
      <c r="F13" s="1"/>
    </row>
    <row r="14" spans="1:6" ht="15" customHeight="1" x14ac:dyDescent="0.2">
      <c r="A14" s="2"/>
      <c r="B14" s="2"/>
      <c r="C14" s="1"/>
      <c r="D14" s="1"/>
      <c r="E14" s="178"/>
      <c r="F14" s="1"/>
    </row>
    <row r="15" spans="1:6" ht="15" customHeight="1" x14ac:dyDescent="0.2">
      <c r="A15" s="2"/>
      <c r="B15" s="2"/>
      <c r="C15" s="1"/>
      <c r="D15" s="1"/>
      <c r="E15" s="178"/>
      <c r="F15" s="1"/>
    </row>
    <row r="16" spans="1:6" ht="15" customHeight="1" x14ac:dyDescent="0.2">
      <c r="A16" s="2"/>
      <c r="B16" s="2"/>
      <c r="C16" s="1"/>
      <c r="D16" s="1"/>
      <c r="E16" s="1"/>
      <c r="F16" s="1"/>
    </row>
    <row r="17" spans="1:6" ht="15" customHeight="1" x14ac:dyDescent="0.2">
      <c r="A17" s="2"/>
      <c r="B17" s="2"/>
      <c r="C17" s="1"/>
      <c r="D17" s="1"/>
      <c r="E17" s="1"/>
      <c r="F17" s="1"/>
    </row>
    <row r="18" spans="1:6" ht="15" customHeight="1" x14ac:dyDescent="0.2">
      <c r="A18" s="2"/>
      <c r="B18" s="2"/>
      <c r="C18" s="1"/>
      <c r="D18" s="1"/>
      <c r="E18" s="1"/>
      <c r="F18" s="1"/>
    </row>
    <row r="19" spans="1:6" ht="15" customHeight="1" x14ac:dyDescent="0.2">
      <c r="A19" s="2"/>
      <c r="B19" s="2"/>
      <c r="C19" s="1"/>
      <c r="D19" s="1"/>
      <c r="E19" s="1"/>
      <c r="F19" s="1"/>
    </row>
    <row r="20" spans="1:6" ht="15" customHeight="1" x14ac:dyDescent="0.2">
      <c r="A20" s="2"/>
      <c r="B20" s="2"/>
      <c r="C20" s="1"/>
      <c r="D20" s="1"/>
      <c r="E20" s="1"/>
      <c r="F20" s="1"/>
    </row>
    <row r="21" spans="1:6" ht="15" customHeight="1" x14ac:dyDescent="0.2">
      <c r="A21" s="2"/>
      <c r="B21" s="2"/>
      <c r="C21" s="1"/>
      <c r="D21" s="1"/>
      <c r="E21" s="1"/>
      <c r="F21" s="1"/>
    </row>
    <row r="22" spans="1:6" ht="15" customHeight="1" x14ac:dyDescent="0.2">
      <c r="A22" s="2"/>
      <c r="B22" s="2"/>
      <c r="C22" s="1"/>
      <c r="D22" s="1"/>
      <c r="E22" s="1"/>
      <c r="F22" s="1"/>
    </row>
    <row r="23" spans="1:6" ht="15" customHeight="1" x14ac:dyDescent="0.2">
      <c r="A23" s="2"/>
      <c r="B23" s="2"/>
      <c r="C23" s="1"/>
      <c r="D23" s="1"/>
      <c r="E23" s="1"/>
      <c r="F23" s="1"/>
    </row>
    <row r="24" spans="1:6" ht="15" customHeight="1" x14ac:dyDescent="0.2">
      <c r="A24" s="2"/>
      <c r="B24" s="2"/>
      <c r="C24" s="1"/>
      <c r="D24" s="1"/>
      <c r="E24" s="1"/>
      <c r="F24" s="1"/>
    </row>
    <row r="25" spans="1:6" ht="15" customHeight="1" x14ac:dyDescent="0.2">
      <c r="A25" s="2"/>
      <c r="B25" s="2"/>
      <c r="C25" s="1"/>
      <c r="D25" s="1"/>
      <c r="E25" s="1"/>
      <c r="F25" s="1"/>
    </row>
    <row r="26" spans="1:6" ht="15" customHeight="1" x14ac:dyDescent="0.2">
      <c r="A26" s="2"/>
      <c r="B26" s="2"/>
      <c r="C26" s="1"/>
      <c r="D26" s="1"/>
      <c r="E26" s="1"/>
      <c r="F26" s="1"/>
    </row>
    <row r="27" spans="1:6" ht="15" customHeight="1" x14ac:dyDescent="0.2">
      <c r="A27" s="2"/>
      <c r="B27" s="2"/>
      <c r="C27" s="1"/>
      <c r="D27" s="1"/>
      <c r="E27" s="1"/>
      <c r="F27" s="1"/>
    </row>
    <row r="28" spans="1:6" ht="15" customHeight="1" x14ac:dyDescent="0.2">
      <c r="A28" s="2"/>
      <c r="B28" s="2"/>
      <c r="C28" s="1"/>
      <c r="D28" s="1"/>
      <c r="E28" s="1"/>
      <c r="F28" s="1"/>
    </row>
  </sheetData>
  <pageMargins left="0.75" right="0.75" top="1" bottom="1" header="0.5" footer="0.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EB33F0B292F044865AC5360FB5C193" ma:contentTypeVersion="16" ma:contentTypeDescription="Create a new document." ma:contentTypeScope="" ma:versionID="4ce3f36fbe4b40f3261dd2309e3c9c46">
  <xsd:schema xmlns:xsd="http://www.w3.org/2001/XMLSchema" xmlns:xs="http://www.w3.org/2001/XMLSchema" xmlns:p="http://schemas.microsoft.com/office/2006/metadata/properties" xmlns:ns3="50abfce2-7de5-4274-91db-6f247c946576" xmlns:ns4="0b20a213-df17-4e56-abb9-25e675dfe243" targetNamespace="http://schemas.microsoft.com/office/2006/metadata/properties" ma:root="true" ma:fieldsID="f1114638d8080911142bc3896d278503" ns3:_="" ns4:_="">
    <xsd:import namespace="50abfce2-7de5-4274-91db-6f247c946576"/>
    <xsd:import namespace="0b20a213-df17-4e56-abb9-25e675dfe24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GenerationTime" minOccurs="0"/>
                <xsd:element ref="ns4:MediaServiceEventHashCode" minOccurs="0"/>
                <xsd:element ref="ns4:MediaServiceAutoKeyPoints" minOccurs="0"/>
                <xsd:element ref="ns4:MediaServiceKeyPoints" minOccurs="0"/>
                <xsd:element ref="ns4:MediaServiceLocation" minOccurs="0"/>
                <xsd:element ref="ns4:MediaLengthInSeconds"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abfce2-7de5-4274-91db-6f247c94657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20a213-df17-4e56-abb9-25e675dfe24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b20a213-df17-4e56-abb9-25e675dfe24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EA204C-03E4-470B-91FF-1CA5578986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abfce2-7de5-4274-91db-6f247c946576"/>
    <ds:schemaRef ds:uri="0b20a213-df17-4e56-abb9-25e675dfe2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F88715-8B5D-4549-AFF8-50F13C232CB3}">
  <ds:schemaRefs>
    <ds:schemaRef ds:uri="http://schemas.microsoft.com/office/infopath/2007/PartnerControls"/>
    <ds:schemaRef ds:uri="http://purl.org/dc/elements/1.1/"/>
    <ds:schemaRef ds:uri="http://purl.org/dc/terms/"/>
    <ds:schemaRef ds:uri="0b20a213-df17-4e56-abb9-25e675dfe243"/>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50abfce2-7de5-4274-91db-6f247c946576"/>
    <ds:schemaRef ds:uri="http://purl.org/dc/dcmitype/"/>
  </ds:schemaRefs>
</ds:datastoreItem>
</file>

<file path=customXml/itemProps3.xml><?xml version="1.0" encoding="utf-8"?>
<ds:datastoreItem xmlns:ds="http://schemas.openxmlformats.org/officeDocument/2006/customXml" ds:itemID="{3C7379E2-C517-477C-8C77-E21DD3B515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COWAN, Melanie</dc:creator>
  <cp:lastModifiedBy>COWAN, Melanie</cp:lastModifiedBy>
  <cp:lastPrinted>2015-09-28T09:48:25Z</cp:lastPrinted>
  <dcterms:created xsi:type="dcterms:W3CDTF">2015-05-13T09:53:39Z</dcterms:created>
  <dcterms:modified xsi:type="dcterms:W3CDTF">2026-03-18T10:10:33Z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0x01010032EB33F0B292F044865AC5360FB5C193</vt:lpwstr>
  </property>
</Properties>
</file>