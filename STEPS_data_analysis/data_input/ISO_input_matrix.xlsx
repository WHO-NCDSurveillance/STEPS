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https://worldhealthorg-my.sharepoint.com/personal/cowanm_who_int/Documents/Desktop/"/>
    </mc:Choice>
  </mc:AlternateContent>
  <xr:revisionPtr revIDLastSave="3" documentId="13_ncr:1_{D3B2EA46-1EFA-E94C-BBF0-820DB492552A}" xr6:coauthVersionLast="47" xr6:coauthVersionMax="47" xr10:uidLastSave="{D47D1A38-2CDF-4B1C-B0B2-7CC7D4695D63}"/>
  <bookViews>
    <workbookView xWindow="-120" yWindow="-120" windowWidth="29040" windowHeight="15720" xr2:uid="{56236E1D-2702-4F2C-A185-C8269303025C}"/>
  </bookViews>
  <sheets>
    <sheet name="indicators" sheetId="1" r:id="rId1"/>
    <sheet name="derivedvars" sheetId="2" r:id="rId2"/>
    <sheet name="other" sheetId="3" r:id="rId3"/>
  </sheets>
  <definedNames>
    <definedName name="_Toc450054825" localSheetId="0">indicators!#REF!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3" l="1"/>
  <c r="A4" i="3"/>
  <c r="A5" i="3" s="1"/>
  <c r="A6" i="3" s="1"/>
  <c r="A7" i="3" s="1"/>
  <c r="A8" i="3" s="1"/>
  <c r="A9" i="3" s="1"/>
  <c r="A10" i="3" s="1"/>
  <c r="A11" i="3" s="1"/>
  <c r="A36" i="3"/>
  <c r="A37" i="3"/>
  <c r="A38" i="3"/>
  <c r="A39" i="3"/>
  <c r="A40" i="3"/>
  <c r="A41" i="3"/>
  <c r="A42" i="3"/>
  <c r="A43" i="3"/>
  <c r="A44" i="3"/>
  <c r="A45" i="3"/>
  <c r="A46" i="3"/>
  <c r="A47" i="3"/>
  <c r="A48" i="3"/>
  <c r="A49" i="3"/>
  <c r="A50" i="3"/>
  <c r="A51" i="3"/>
  <c r="A52" i="3"/>
  <c r="A53" i="3"/>
  <c r="A54" i="3"/>
  <c r="A55" i="3"/>
  <c r="A56" i="3"/>
  <c r="A57" i="3"/>
  <c r="A58" i="3"/>
  <c r="A59" i="3"/>
  <c r="A60" i="3"/>
  <c r="A61" i="3"/>
  <c r="A62" i="3"/>
  <c r="A63" i="3"/>
  <c r="A64" i="3"/>
  <c r="A65" i="3"/>
  <c r="A66" i="3"/>
  <c r="A67" i="3"/>
  <c r="A68" i="3"/>
  <c r="A69" i="3"/>
  <c r="A70" i="3"/>
  <c r="A71" i="3"/>
  <c r="A72" i="3"/>
  <c r="A73" i="3"/>
  <c r="A74" i="3"/>
  <c r="A75" i="3"/>
  <c r="A76" i="3"/>
  <c r="A77" i="3"/>
  <c r="A78" i="3"/>
  <c r="A79" i="3"/>
  <c r="A80" i="3"/>
  <c r="A81" i="3"/>
  <c r="A82" i="3"/>
  <c r="A83" i="3"/>
  <c r="A84" i="3"/>
  <c r="A85" i="3"/>
  <c r="A86" i="3"/>
  <c r="A87" i="3"/>
  <c r="A88" i="3"/>
  <c r="A89" i="3"/>
  <c r="A90" i="3"/>
  <c r="A91" i="3"/>
  <c r="A92" i="3"/>
  <c r="A93" i="3"/>
  <c r="A94" i="3"/>
  <c r="A95" i="3"/>
  <c r="A96" i="3"/>
  <c r="A97" i="3"/>
  <c r="A98" i="3"/>
  <c r="A99" i="3"/>
  <c r="A100" i="3"/>
  <c r="A101" i="3"/>
  <c r="A102" i="3"/>
  <c r="A103" i="3"/>
  <c r="A104" i="3"/>
  <c r="A105" i="3"/>
  <c r="A106" i="3"/>
  <c r="A107" i="3"/>
  <c r="A108" i="3"/>
  <c r="A109" i="3"/>
  <c r="A110" i="3"/>
  <c r="A111" i="3"/>
  <c r="A112" i="3"/>
  <c r="A113" i="3"/>
  <c r="A114" i="3"/>
  <c r="A115" i="3"/>
  <c r="A116" i="3"/>
  <c r="A117" i="3"/>
  <c r="A118" i="3"/>
  <c r="A119" i="3"/>
  <c r="A120" i="3"/>
  <c r="A121" i="3"/>
  <c r="A122" i="3"/>
  <c r="A123" i="3"/>
  <c r="A124" i="3"/>
  <c r="A125" i="3"/>
  <c r="A126" i="3"/>
  <c r="A127" i="3"/>
  <c r="A128" i="3"/>
  <c r="A129" i="3"/>
  <c r="A130" i="3"/>
  <c r="A131" i="3"/>
  <c r="A132" i="3"/>
  <c r="A133" i="3"/>
  <c r="A134" i="3"/>
  <c r="A135" i="3"/>
  <c r="A136" i="3"/>
  <c r="A137" i="3"/>
  <c r="A138" i="3"/>
  <c r="A139" i="3"/>
  <c r="A140" i="3"/>
  <c r="A141" i="3"/>
  <c r="A142" i="3"/>
  <c r="A143" i="3"/>
  <c r="A144" i="3"/>
  <c r="A145" i="3"/>
  <c r="A146" i="3"/>
  <c r="A147" i="3"/>
  <c r="A148" i="3"/>
  <c r="A149" i="3"/>
  <c r="A150" i="3"/>
  <c r="A151" i="3"/>
  <c r="A152" i="3"/>
  <c r="A153" i="3"/>
  <c r="A154" i="3"/>
  <c r="A155" i="3"/>
  <c r="A156" i="3"/>
  <c r="A157" i="3"/>
  <c r="A158" i="3"/>
  <c r="A159" i="3"/>
  <c r="A160" i="3"/>
  <c r="A161" i="3"/>
  <c r="A162" i="3"/>
  <c r="A163" i="3"/>
  <c r="A164" i="3"/>
  <c r="A165" i="3"/>
  <c r="A166" i="3"/>
  <c r="A167" i="3"/>
  <c r="A168" i="3"/>
  <c r="A169" i="3"/>
  <c r="A170" i="3"/>
  <c r="A171" i="3"/>
  <c r="A172" i="3"/>
  <c r="A173" i="3"/>
  <c r="A174" i="3"/>
  <c r="A175" i="3"/>
  <c r="A176" i="3"/>
  <c r="A177" i="3"/>
  <c r="A178" i="3"/>
  <c r="A179" i="3"/>
  <c r="A180" i="3"/>
  <c r="A181" i="3"/>
  <c r="A182" i="3"/>
  <c r="A183" i="3"/>
  <c r="A184" i="3"/>
  <c r="A185" i="3"/>
  <c r="A186" i="3"/>
  <c r="A187" i="3"/>
  <c r="A188" i="3"/>
  <c r="A189" i="3"/>
  <c r="A190" i="3"/>
  <c r="A191" i="3"/>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222" i="3"/>
  <c r="A223" i="3"/>
  <c r="A224" i="3"/>
  <c r="A225" i="3"/>
  <c r="A226" i="3"/>
  <c r="A227" i="3"/>
  <c r="A228" i="3"/>
  <c r="A229" i="3"/>
  <c r="A230" i="3"/>
  <c r="A231" i="3"/>
  <c r="A232" i="3"/>
  <c r="A233" i="3"/>
  <c r="A234" i="3"/>
  <c r="A235" i="3"/>
  <c r="A236" i="3"/>
  <c r="A237" i="3"/>
  <c r="A238" i="3"/>
  <c r="A239" i="3"/>
  <c r="A240" i="3"/>
  <c r="A241" i="3"/>
  <c r="A242" i="3"/>
  <c r="A243" i="3"/>
  <c r="A244" i="3"/>
  <c r="A245" i="3"/>
  <c r="A246" i="3"/>
  <c r="A247" i="3"/>
  <c r="A248" i="3"/>
  <c r="A249" i="3"/>
  <c r="A250" i="3"/>
  <c r="A251" i="3"/>
  <c r="A252" i="3"/>
  <c r="A253" i="3"/>
  <c r="A254" i="3"/>
  <c r="A255" i="3"/>
  <c r="A256" i="3"/>
  <c r="A257" i="3"/>
  <c r="A258" i="3"/>
  <c r="A259" i="3"/>
  <c r="A260" i="3"/>
  <c r="A261" i="3"/>
  <c r="A262" i="3"/>
  <c r="A263" i="3"/>
  <c r="A264" i="3"/>
  <c r="A265" i="3"/>
  <c r="A266" i="3"/>
  <c r="A267" i="3"/>
  <c r="A268" i="3"/>
  <c r="A269"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B12" i="3" l="1" a="1"/>
  <c r="B16" i="3" s="1"/>
  <c r="B22" i="3" l="1"/>
  <c r="B30" i="3"/>
  <c r="B34" i="3"/>
  <c r="B31" i="3"/>
  <c r="B33" i="3"/>
  <c r="B24" i="3"/>
  <c r="B19" i="3"/>
  <c r="B14" i="3"/>
  <c r="B32" i="3"/>
  <c r="B12" i="3"/>
  <c r="A12" i="3" s="1"/>
  <c r="B23" i="3"/>
  <c r="B21" i="3"/>
  <c r="B20" i="3"/>
  <c r="B15" i="3"/>
  <c r="B26" i="3"/>
  <c r="B29" i="3"/>
  <c r="B18" i="3"/>
  <c r="B13" i="3"/>
  <c r="B17" i="3"/>
  <c r="B28" i="3"/>
  <c r="B27" i="3"/>
  <c r="B35" i="3"/>
  <c r="B25" i="3"/>
  <c r="A13" i="3" l="1"/>
  <c r="A14" i="3" s="1"/>
  <c r="A15" i="3" s="1"/>
  <c r="A16" i="3" s="1"/>
  <c r="A17" i="3" s="1"/>
  <c r="A18" i="3" s="1"/>
  <c r="A19" i="3" s="1"/>
  <c r="A20" i="3" s="1"/>
  <c r="A21" i="3" s="1"/>
  <c r="A22" i="3" s="1"/>
  <c r="A23" i="3" s="1"/>
  <c r="A24" i="3" s="1"/>
  <c r="A25" i="3" s="1"/>
  <c r="A26" i="3" s="1"/>
  <c r="A27" i="3" s="1"/>
  <c r="A28" i="3" s="1"/>
  <c r="A29" i="3" s="1"/>
  <c r="A30" i="3" s="1"/>
  <c r="A31" i="3" s="1"/>
  <c r="A32" i="3" s="1"/>
  <c r="A33" i="3" s="1"/>
  <c r="A34" i="3" s="1"/>
  <c r="A35" i="3" s="1"/>
</calcChain>
</file>

<file path=xl/sharedStrings.xml><?xml version="1.0" encoding="utf-8"?>
<sst xmlns="http://schemas.openxmlformats.org/spreadsheetml/2006/main" count="4007" uniqueCount="1734">
  <si>
    <t>Section</t>
  </si>
  <si>
    <t>Indicator</t>
  </si>
  <si>
    <t>Instrument_questions</t>
  </si>
  <si>
    <t>Table_title</t>
  </si>
  <si>
    <t>Age group and sex of respondents</t>
  </si>
  <si>
    <t>Type</t>
  </si>
  <si>
    <t>categorical</t>
  </si>
  <si>
    <t>Mean number of years of education</t>
  </si>
  <si>
    <t>Highest level of education achieved by the survey respondents.</t>
  </si>
  <si>
    <t>Mean number of years of education among respondents.</t>
  </si>
  <si>
    <t>Summary information by age group and sex of the respondents.</t>
  </si>
  <si>
    <t>Highest level of education</t>
  </si>
  <si>
    <t>Summary results for the ethnicity of the respondents</t>
  </si>
  <si>
    <t>Ethnic group of respondents</t>
  </si>
  <si>
    <t>Marital status</t>
  </si>
  <si>
    <t>Proportion of respondents in paid employment and those who are unpaid.  Unpaid includes persons who are non-paid, students, homemakers, retired, and unemployed.</t>
  </si>
  <si>
    <t>Employment status</t>
  </si>
  <si>
    <t>Mean annual per capita income</t>
  </si>
  <si>
    <t>Estimated household earnings</t>
  </si>
  <si>
    <t>Tobacco Use</t>
  </si>
  <si>
    <t>Summary of participant household earnings by quintile</t>
  </si>
  <si>
    <t>Percentage of current smokers</t>
  </si>
  <si>
    <t>Smoking status</t>
  </si>
  <si>
    <t>subtitle1</t>
  </si>
  <si>
    <t>subtitle2</t>
  </si>
  <si>
    <t>C1</t>
  </si>
  <si>
    <t>C4</t>
  </si>
  <si>
    <t>C5</t>
  </si>
  <si>
    <t>C6</t>
  </si>
  <si>
    <t>C7</t>
  </si>
  <si>
    <t>C8</t>
  </si>
  <si>
    <t>logic_condition_var</t>
  </si>
  <si>
    <t>C11</t>
  </si>
  <si>
    <t>Mean age of initiation and mean duration of smoking, in years, among daily smokers (no total age group for mean duration of smoking as age influences these values).</t>
  </si>
  <si>
    <t>Manufactured cigarette smokers among daily smokers</t>
  </si>
  <si>
    <t>Manu-factured cigarette smoker</t>
  </si>
  <si>
    <t>Mean age started smoking</t>
  </si>
  <si>
    <t>Mean duration of smoking</t>
  </si>
  <si>
    <t>Percentage of smokers who use manufactured cigarettes among daily smokers and among current smokers</t>
  </si>
  <si>
    <t>Manufactured cigarette smokers among current smokers</t>
  </si>
  <si>
    <t>Mean amount of tobacco used by daily smokers per day, by type</t>
  </si>
  <si>
    <t>Mean amount of tobacco used by daily smokers by type</t>
  </si>
  <si>
    <t>Percentage of current smokers who smoke each of the following products</t>
  </si>
  <si>
    <t>Percentage of current smokers smoking each of the following products</t>
  </si>
  <si>
    <t>Percentage of daily cigarette smokers smoking given quantities of manufactured or hand-rolled cigarettes per day</t>
  </si>
  <si>
    <t>Percentage of daily smokers smoking given quantities of manufactured or hand-rolled cigarettes per day</t>
  </si>
  <si>
    <t>Mean years since cessation</t>
  </si>
  <si>
    <t>Percentage of current smokers who have tried to stop smoking during the past 12 months</t>
  </si>
  <si>
    <t>Current smokers who have tried to stop smoking</t>
  </si>
  <si>
    <t>Percentage of current smokers who have been advised by a doctor or other health worker to stop smoking, among those smokers who have had a visit to a doctor or other health worker in the past 12 months</t>
  </si>
  <si>
    <t>Current smokers who have been advised by doctor to stop smoking</t>
  </si>
  <si>
    <t>Current users of smokeless tobacco</t>
  </si>
  <si>
    <t>Smokeless tobacco use</t>
  </si>
  <si>
    <t>Mean times per day smokeless tobacco used by daily smokeless tobacco users per day, by type</t>
  </si>
  <si>
    <t>Mean times per day smokeless tobacco used by daily smokeless tobacco users by type</t>
  </si>
  <si>
    <t>Percentage of current users of smokeless tobacco who use each of the following products</t>
  </si>
  <si>
    <t>Current tobacco users</t>
  </si>
  <si>
    <t>Daily tobacco users</t>
  </si>
  <si>
    <t>Exposed to second-hand smoke in home during the past 30 days</t>
  </si>
  <si>
    <t>Exposed to second-hand smoke in the workplace during the past 30 days</t>
  </si>
  <si>
    <t>Alcohol Consumption</t>
  </si>
  <si>
    <t>Alcohol consumption status</t>
  </si>
  <si>
    <t>Stopping drinking due to health reasons</t>
  </si>
  <si>
    <t>stopping due to health reasons</t>
  </si>
  <si>
    <t>Frequency of alcohol consumption in the past 12 months</t>
  </si>
  <si>
    <t>Mean number of occasions with at least one drink in the past 30 days among current (past 30 days) drinkers</t>
  </si>
  <si>
    <t>Mean number of drinking occasions in the past 30 days among current (past 30 days) drinkers</t>
  </si>
  <si>
    <t>Mean number of standard drinks consumed on a drinking occasion among current (past 30 days) drinkers</t>
  </si>
  <si>
    <t>Mean number of standard drinks per drinking occasion among current (past 30 days) drinkers</t>
  </si>
  <si>
    <t>≥60g;≥40g;high-end level</t>
  </si>
  <si>
    <t>40-59.9g;20-39.9g;intermediate level</t>
  </si>
  <si>
    <t>&lt;40g;&lt;20g;lower-end level</t>
  </si>
  <si>
    <t>Largest number of drinks consumed during a single occasion in the past 30 days among current (past 30 days) drinkers</t>
  </si>
  <si>
    <t>Mean maximum number of standard drinks consumed on one occasion in the past 30 days</t>
  </si>
  <si>
    <t>Six or more drinks on a single occasion at least once during the past 30 days among total population</t>
  </si>
  <si>
    <t>≥ 6 drinks</t>
  </si>
  <si>
    <t>Mean number of times in the past 30 days on which current (past 30 days) drinkers consumed six or more drinks during a single occasion.</t>
  </si>
  <si>
    <t>Frequency of alcohol consumption in the past 7 days by current (past 30 days) drinkers</t>
  </si>
  <si>
    <t>Frequency of alcohol consumption in the past 7 days</t>
  </si>
  <si>
    <t>Mean number of standard drinks consumed on average per day in the past 7 days among current (past 30 days) drinkers</t>
  </si>
  <si>
    <t>Mean number of standard drinks consumed on average per day in the past 7 days among current drinkers</t>
  </si>
  <si>
    <t>column_strat</t>
  </si>
  <si>
    <t>All</t>
  </si>
  <si>
    <t>tob_initiation_age</t>
  </si>
  <si>
    <t>tob_duration</t>
  </si>
  <si>
    <t>cessation_yrs</t>
  </si>
  <si>
    <t>Percentage of current users of smokeless tobacco using each of the following products</t>
  </si>
  <si>
    <t>pop_subset</t>
  </si>
  <si>
    <t>A6</t>
  </si>
  <si>
    <t>A7</t>
  </si>
  <si>
    <t>Percentage of current (past 30 days) drinkers with different drinking levels.
A standard drink contains approximately 10g of pure alcohol.</t>
  </si>
  <si>
    <t>Drinking at high-end level among current drinkers (≥60g of pure alcohol on average per occasion among men and ≥40g of pure alcohol on average per occasion among women)</t>
  </si>
  <si>
    <t>Drinking at intermediate level among current drinkers (40-59.9g of pure alcohol on average per occasion among men and 20-39.9g of pure alcohol on average per occasion among women)</t>
  </si>
  <si>
    <t>Drinking at lower-end level among current drinkers (&lt;40g of pure alcohol on average per occasion among men and &lt;20g of pure alcohol on average per occasion among women)</t>
  </si>
  <si>
    <t>A8</t>
  </si>
  <si>
    <t>A9</t>
  </si>
  <si>
    <t>A9&gt;0</t>
  </si>
  <si>
    <t>avg_drinks</t>
  </si>
  <si>
    <t>C10peryear</t>
  </si>
  <si>
    <t>All;All;All;All</t>
  </si>
  <si>
    <t>tob1a:Current smoking</t>
  </si>
  <si>
    <t>tob1b:Smoking Status</t>
  </si>
  <si>
    <t>tob1c:Daily smoking</t>
  </si>
  <si>
    <t>tob1f:Manufactured cigarette smokers</t>
  </si>
  <si>
    <t>tob1g:Manufactured cigarette smokers</t>
  </si>
  <si>
    <t>tob1h:Amount of tobacco used among daily smokers by type</t>
  </si>
  <si>
    <t>tob1i:Smoked tobacco consumption</t>
  </si>
  <si>
    <t>tob1j:Frequency of daily cigarette smoking</t>
  </si>
  <si>
    <t>tob1k:Former daily smokers and former smokers</t>
  </si>
  <si>
    <t>tob1l:Former daily smokers and former smokers</t>
  </si>
  <si>
    <t>tob1m:Former daily smokers and former smokers</t>
  </si>
  <si>
    <t>tob1n:Cessation</t>
  </si>
  <si>
    <t>tob1o:Advice to stop smoking</t>
  </si>
  <si>
    <t>tob1p:Current users of smokeless tobacco</t>
  </si>
  <si>
    <t>tob1q:Status of smokeless tobacco use</t>
  </si>
  <si>
    <t xml:space="preserve">tob1r:Former daily users of smokeless tobacco </t>
  </si>
  <si>
    <t xml:space="preserve">tob1s:Former daily users of smokeless tobacco </t>
  </si>
  <si>
    <t>tob1t:Amount of smokeless tobacco used among daily users by type</t>
  </si>
  <si>
    <t>tob1v:Current tobacco users</t>
  </si>
  <si>
    <t>tob1w:Current tobacco users</t>
  </si>
  <si>
    <t>tob1x:Exposure to second-hand smoke in home in past 30 days</t>
  </si>
  <si>
    <t>tob1u:Smokeless tobacco consumption</t>
  </si>
  <si>
    <t>tob1y:Exposure to second-hand smoke in the workplace in past 30 days</t>
  </si>
  <si>
    <t>alc1a:Alcohol consumption status</t>
  </si>
  <si>
    <t>alc1b:Stopping drinking due to health reasons</t>
  </si>
  <si>
    <t>alc1c:Frequency of alcohol consumption</t>
  </si>
  <si>
    <t>alc1d:Drinking occasions in the past 30 days</t>
  </si>
  <si>
    <t>alc1e:Standard drinks per drinking occasion</t>
  </si>
  <si>
    <t>alc1l:Largest number of drinks in the past 30 days</t>
  </si>
  <si>
    <t>alc1m:Six or more drinks on a single occasion (“heavy episodic drinking”)</t>
  </si>
  <si>
    <t>alc1n:Six or more drinks on a single occasion</t>
  </si>
  <si>
    <t>alc1o:Past 7 days drinking</t>
  </si>
  <si>
    <t>alc1q:Consumption of unrecorded alcohol</t>
  </si>
  <si>
    <t>Diet</t>
  </si>
  <si>
    <t>Mean number of days fruit consumed in a typical week</t>
  </si>
  <si>
    <t>Mean number of days vegetables consumed in a typical week</t>
  </si>
  <si>
    <t>Mean number of servings of fruit on average per day</t>
  </si>
  <si>
    <t>Mean number of servings of vegetables on average per day</t>
  </si>
  <si>
    <t>Mean number of servings of fruit and/or vegetables on average per day</t>
  </si>
  <si>
    <t>Frequency of fruit and/or vegetable consumption</t>
  </si>
  <si>
    <t>Number of servings of fruit and/or vegetables on average per day</t>
  </si>
  <si>
    <t>Percentage of those eating less than five servings of fruit and/or vegetables on average per day</t>
  </si>
  <si>
    <t xml:space="preserve">Less than five servings of fruit and/or vegetables on average per day </t>
  </si>
  <si>
    <t>&lt; five servings per day</t>
  </si>
  <si>
    <t>Add salt always or often before eating or when eating</t>
  </si>
  <si>
    <t>Add salt always or often when cooking or preparing food at home</t>
  </si>
  <si>
    <t>Always or often consume processed food high in salt</t>
  </si>
  <si>
    <t>Think they consume far too much or too much salt</t>
  </si>
  <si>
    <t>Self-reported quantity of salt consumed</t>
  </si>
  <si>
    <t>Importance of lowering salt in diet</t>
  </si>
  <si>
    <t>Think consuming too much salt could cause serious health problem</t>
  </si>
  <si>
    <t>Limit consumption of processed foods</t>
  </si>
  <si>
    <t>Look at the salt or sodium content on food labels</t>
  </si>
  <si>
    <t>Buy low salt/sodium alternatives</t>
  </si>
  <si>
    <t>Use spices other than salt when cooking</t>
  </si>
  <si>
    <t>Avoid eating foods prepared outside of a home</t>
  </si>
  <si>
    <t>Do other things specifically to control your salt intake</t>
  </si>
  <si>
    <t>dt1a:Mean number of days of fruit and vegetable consumption</t>
  </si>
  <si>
    <t>dt1b:Mean number of days of fruit and vegetable consumption</t>
  </si>
  <si>
    <t>dt1c:Mean number of servings of fruit and vegetable consumption</t>
  </si>
  <si>
    <t>dt1d:Mean number of servings of fruit and vegetable consumption</t>
  </si>
  <si>
    <t>dt1e:Mean number of servings of fruit and vegetable consumption</t>
  </si>
  <si>
    <t>dt1f:Fruit and vegetable consumption per day</t>
  </si>
  <si>
    <t>dt1h:Adding salt at meal</t>
  </si>
  <si>
    <t>dt1i:Adding salt when cooking</t>
  </si>
  <si>
    <t>dt1j:Salty processed food consumption</t>
  </si>
  <si>
    <t>dt1k:Salt consumption</t>
  </si>
  <si>
    <t>dt1m:Lowering salt</t>
  </si>
  <si>
    <t>dt1n:Salt knowledge</t>
  </si>
  <si>
    <t>dt1o:Controlling salt intake</t>
  </si>
  <si>
    <t>dt1p:Controlling salt intake</t>
  </si>
  <si>
    <t>dt1q:Controlling salt intake</t>
  </si>
  <si>
    <t>dt1r:Controlling salt intake</t>
  </si>
  <si>
    <t>dt1s:Controlling salt intake</t>
  </si>
  <si>
    <t>dt1t:Controlling salt intake</t>
  </si>
  <si>
    <t>D1</t>
  </si>
  <si>
    <t>D3</t>
  </si>
  <si>
    <t>either_veg_fruit</t>
  </si>
  <si>
    <t>!is.na(freq_veg_fruit)</t>
  </si>
  <si>
    <t>!is.na(freq_veg_fruit);!is.na(freq_veg_fruit);!is.na(freq_veg_fruit);!is.na(freq_veg_fruit)</t>
  </si>
  <si>
    <t>avg_fruits</t>
  </si>
  <si>
    <t>avg_veg</t>
  </si>
  <si>
    <t>Physical Activity</t>
  </si>
  <si>
    <t>Not meeting WHO recommendations on physical activity for health</t>
  </si>
  <si>
    <t>not meeting recs</t>
  </si>
  <si>
    <t>Level of total physical activity according to former recommendations</t>
  </si>
  <si>
    <t>Mean minutes of total physical activity on average per day</t>
  </si>
  <si>
    <t>Median minutes of total physical activity on average per day</t>
  </si>
  <si>
    <t>Mean minutes spent in work-, transport- and recreation-related physical activity on average per day</t>
  </si>
  <si>
    <t>Mean minutes of work-related physical activity on average per day</t>
  </si>
  <si>
    <t>Mean minutes of transport-related physical activity on average per day</t>
  </si>
  <si>
    <t>Mean minutes of recreation-related physical activity on average per day</t>
  </si>
  <si>
    <t>Median minutes spent in work-, transport- and recreation-related physical activity on average per day</t>
  </si>
  <si>
    <t>Median minutes of work-related physical activity on average per day</t>
  </si>
  <si>
    <t>Median minutes of transport-related physical activity on average per day</t>
  </si>
  <si>
    <t>Median minutes of recreation-related physical activity on average per day</t>
  </si>
  <si>
    <t>No work-related physical activity</t>
  </si>
  <si>
    <t>Percentage of work, transport and recreational activity contributing to total activity</t>
  </si>
  <si>
    <t>Composition of total physical activity</t>
  </si>
  <si>
    <t>No vigorous physical activity</t>
  </si>
  <si>
    <t>no vigorous activity</t>
  </si>
  <si>
    <t>Minutes spent in sedentary activities on a typical day</t>
  </si>
  <si>
    <t>Minutes spent in sedentary activities on average per day</t>
  </si>
  <si>
    <t>phy1a:Not meeting WHO recommendations on physical activity for health (“Insufficient physical activity”)</t>
  </si>
  <si>
    <t>phy1b:Levels of total physical activity according to former recommen-dations</t>
  </si>
  <si>
    <t>No transport-related physical activity</t>
  </si>
  <si>
    <t>No recreation-related physical activity</t>
  </si>
  <si>
    <t>no activity at work</t>
  </si>
  <si>
    <t>phy1c:Total physical activity- mean</t>
  </si>
  <si>
    <t>phy1d:Total physical activity- median</t>
  </si>
  <si>
    <t>phy1e:Domain-specific physical activity- mean</t>
  </si>
  <si>
    <t>phy1f:Domain-specific physical activity- mean</t>
  </si>
  <si>
    <t>phy1g:Domain-specific physical activity- mean</t>
  </si>
  <si>
    <t>phy1h:Domain-specific physical activity- median</t>
  </si>
  <si>
    <t>phy1i:Domain-specific physical activity- median</t>
  </si>
  <si>
    <t>phy1j:Domain-specific physical activity- median</t>
  </si>
  <si>
    <t>phy1k:No physical activity by domain</t>
  </si>
  <si>
    <t>phy1l:No physical activity by domain</t>
  </si>
  <si>
    <t>phy1m:No physical activity by domain</t>
  </si>
  <si>
    <t>phy1n:Composition of total physical activity</t>
  </si>
  <si>
    <t xml:space="preserve">phy1o:No vigorous physical activity </t>
  </si>
  <si>
    <t>phy1p:Sedentary</t>
  </si>
  <si>
    <t>precday</t>
  </si>
  <si>
    <t>ptravelday</t>
  </si>
  <si>
    <t>p16</t>
  </si>
  <si>
    <t>Blood pressure measurement and diagnosis</t>
  </si>
  <si>
    <t>Raised blood pressure treatment results among those previously diagnosed with raised blood pressure</t>
  </si>
  <si>
    <t>Currently taking drugs (medication) for raised blood pressure prescribed by doctor or health worker among those diagnosed</t>
  </si>
  <si>
    <t>taking meds</t>
  </si>
  <si>
    <t>Seen a traditional healer among those previously diagnosed</t>
  </si>
  <si>
    <t>Currently taking herbal or traditional remedy for raised blood pressure among those previously diagnosed</t>
  </si>
  <si>
    <t xml:space="preserve">taking trad. meds </t>
  </si>
  <si>
    <t>bp1a:Blood pressure measurement and diagnosis</t>
  </si>
  <si>
    <t>bp1b:Blood pressure treatment among those diagnosed</t>
  </si>
  <si>
    <t>bp1c:Blood pressure advice by a traditional healer</t>
  </si>
  <si>
    <t>bp1d:Blood pressure advice by a traditional healer</t>
  </si>
  <si>
    <t>Blood sugar measurement and diagnosis</t>
  </si>
  <si>
    <t>Diabetes treatment results among those previously diagnosed with raised blood sugar or diabetes</t>
  </si>
  <si>
    <t>Currently taking drugs (medication) prescribed for diabetes among those previously diagnosed</t>
  </si>
  <si>
    <t>taking insulin</t>
  </si>
  <si>
    <t>Currently taking insulin prescribed for diabetes among those previously diagnosed</t>
  </si>
  <si>
    <t>Seen a traditional healer for diabetes among those previously diagnosed</t>
  </si>
  <si>
    <t>Currently taking herbal or traditional treatment for diabetes among those previously diagnosed</t>
  </si>
  <si>
    <t>taking trad. meds</t>
  </si>
  <si>
    <t>Total cholesterol measurement and diagnosis</t>
  </si>
  <si>
    <t>Cholesterol treatment results among those previously diagnosed with raised cholesterol</t>
  </si>
  <si>
    <t>Currently taking oral treatment (medication) prescribed for raised total cholesterol among those previously diagnosed</t>
  </si>
  <si>
    <t>Seen a traditional healer for raised cholesterol among those previously diagnosed</t>
  </si>
  <si>
    <t>seen trad. healer</t>
  </si>
  <si>
    <t>Currently taking herbal or traditional treatment for raised cholesterol among those previously diagnosed</t>
  </si>
  <si>
    <t>db1a:Blood sugar measurement and diagnosis</t>
  </si>
  <si>
    <t>db1d:Diabetes advice by traditional healer</t>
  </si>
  <si>
    <t>db1e:Diabetes advice by traditional healer</t>
  </si>
  <si>
    <t>chol1a:Cholesterol measurement and diagnosis</t>
  </si>
  <si>
    <t>chol1b:Cholesterol treatment among those diagnosed</t>
  </si>
  <si>
    <t>chol1c:Cholesterol advice by traditional healer</t>
  </si>
  <si>
    <t>chol1d:Cholesterol advice by traditional healer</t>
  </si>
  <si>
    <t>CVD history</t>
  </si>
  <si>
    <t>Currently taking aspirin regularly to prevent or treat heart disease</t>
  </si>
  <si>
    <t>taking aspirin</t>
  </si>
  <si>
    <t>Currently taking statins regularly to prevent or treat heart disease</t>
  </si>
  <si>
    <t>taking statins</t>
  </si>
  <si>
    <t>cvd1a:History of cardio-vascular diseases</t>
  </si>
  <si>
    <t>cvd1b:Prevention and treatment of heart disease</t>
  </si>
  <si>
    <t>cvd1c:Prevention and treatment of heart disease</t>
  </si>
  <si>
    <t>Advised by doctor or health worker to quit using tobacco or don’t start</t>
  </si>
  <si>
    <t>advised</t>
  </si>
  <si>
    <t>Advised by doctor or health worker to reduce salt in the diet</t>
  </si>
  <si>
    <t>Advised by doctor or health worker to eat at least five servings of fruit and/or vegetables each day</t>
  </si>
  <si>
    <t>Advised by doctor or health worker to reduce fat in the diet</t>
  </si>
  <si>
    <t>Advised by doctor or health worker to start or do more physical activity</t>
  </si>
  <si>
    <t>Advised by doctor or health worker to maintain a healthy body weight or to lose weight</t>
  </si>
  <si>
    <t>ls1a:Lifestyle advice</t>
  </si>
  <si>
    <t>ls1b:Lifestyle advice</t>
  </si>
  <si>
    <t>ls1c:Lifestyle advice</t>
  </si>
  <si>
    <t>ls1d:Lifestyle advice</t>
  </si>
  <si>
    <t>ls1e:Lifestyle advice</t>
  </si>
  <si>
    <t>ls1f:Lifestyle advice</t>
  </si>
  <si>
    <t>ever tested</t>
  </si>
  <si>
    <t>Physical Measurements</t>
  </si>
  <si>
    <t>Mean systolic blood pressure (mmHg)</t>
  </si>
  <si>
    <t>Mean diastolic blood pressure (mmHg)</t>
  </si>
  <si>
    <t>SBP ≥140 and/or DBP ≥ 90 mmHg</t>
  </si>
  <si>
    <t>SBP ≥160 and/or DBP ≥ 100 mmHg</t>
  </si>
  <si>
    <t>SBP ≥140 and/or DBP ≥ 90 mmHg or currently on medication for raised blood pressure</t>
  </si>
  <si>
    <t>SBP ≥160 and/or DBP ≥ 100 mmHg or currently on medication for raised blood pressure</t>
  </si>
  <si>
    <t>Mean heart rate (beats per minute)</t>
  </si>
  <si>
    <t>mean</t>
  </si>
  <si>
    <t>Mean height (cm)</t>
  </si>
  <si>
    <t>Mean weight (kg)</t>
  </si>
  <si>
    <t>Mean BMI (kg/m2)</t>
  </si>
  <si>
    <t>BMI classifications</t>
  </si>
  <si>
    <t xml:space="preserve">BMI≥25 </t>
  </si>
  <si>
    <t>Waist circumference (cm)</t>
  </si>
  <si>
    <t>pm1a:Blood pressure</t>
  </si>
  <si>
    <t>pm1b:Blood pressure</t>
  </si>
  <si>
    <t>pm1c:Raised blood pressure</t>
  </si>
  <si>
    <t>pm1d:Raised blood pressure</t>
  </si>
  <si>
    <t>pm1e:Raised blood pressure</t>
  </si>
  <si>
    <t>pm1f:Raised blood pressure</t>
  </si>
  <si>
    <t>pm1i:Height, weight and BMI</t>
  </si>
  <si>
    <t>pwkday</t>
  </si>
  <si>
    <t>comp_wkday;comp_travelday;comp_recday</t>
  </si>
  <si>
    <t>ls1g:Lifestyle advice</t>
  </si>
  <si>
    <t>Advised by doctor or health worker to reduce sugary beverages in diet</t>
  </si>
  <si>
    <t>rev_ptotal</t>
  </si>
  <si>
    <t>sbp</t>
  </si>
  <si>
    <t>dbp</t>
  </si>
  <si>
    <t>!is.na(sbp)</t>
  </si>
  <si>
    <t>!is.na(dbp)</t>
  </si>
  <si>
    <t>heartrate</t>
  </si>
  <si>
    <t>m11</t>
  </si>
  <si>
    <t>m12</t>
  </si>
  <si>
    <t>bmi</t>
  </si>
  <si>
    <t>pm1h:Mean heart rate</t>
  </si>
  <si>
    <t>pm1j:Height, weight and BMI</t>
  </si>
  <si>
    <t>pm1k:Height, weight and BMI</t>
  </si>
  <si>
    <t>bmi&gt;=25</t>
  </si>
  <si>
    <t>pm1l:BMI categories</t>
  </si>
  <si>
    <t>pm1m:BMI ≥25</t>
  </si>
  <si>
    <t>pm1n:Waist circumference</t>
  </si>
  <si>
    <t>m14</t>
  </si>
  <si>
    <t xml:space="preserve">waist_hip_ratio </t>
  </si>
  <si>
    <t>Biochemical Measurements</t>
  </si>
  <si>
    <t>Mean fasting blood glucose (mmol/L)</t>
  </si>
  <si>
    <t>Mean fasting blood glucose (mg/dl)</t>
  </si>
  <si>
    <t>Mean total cholesterol (mmol/L)</t>
  </si>
  <si>
    <t>Mean total cholesterol (mg/dl)</t>
  </si>
  <si>
    <t>Total cholesterol ≥ 5.0 mmol/L or ≥ 190 mg/dl</t>
  </si>
  <si>
    <t>Total cholesterol ≥ 6.2 mmol/L or ≥ 240 mg/dl</t>
  </si>
  <si>
    <t>bm1a:Mean fasting blood glucose</t>
  </si>
  <si>
    <t>bm1b:Mean fasting blood glucose</t>
  </si>
  <si>
    <t>bm1c:Raised blood glucose</t>
  </si>
  <si>
    <t>bm1d:Raised blood glucose</t>
  </si>
  <si>
    <t>bm1h:Total cholesterol</t>
  </si>
  <si>
    <t>bm1j:Raised total cholesterol</t>
  </si>
  <si>
    <t>b5</t>
  </si>
  <si>
    <t>b5mg</t>
  </si>
  <si>
    <t>b8mg</t>
  </si>
  <si>
    <t>B8&gt;=5</t>
  </si>
  <si>
    <t>B8&gt;=6.2</t>
  </si>
  <si>
    <t>nagr</t>
  </si>
  <si>
    <t>Cardiovascular disease risk</t>
  </si>
  <si>
    <t>cvd1riska:CVD risk</t>
  </si>
  <si>
    <t>&lt;10%;10-20%;≥20%</t>
  </si>
  <si>
    <t>cvd1riskb:CVD risk of ≥20% or existing CVD</t>
  </si>
  <si>
    <t>Summary of Combined Risk Factors</t>
  </si>
  <si>
    <t>sum1a:Summary of Combined Risk Factors</t>
  </si>
  <si>
    <t>with 0 risk factors;with 1-2 risk factors;with 3-5 risk factors</t>
  </si>
  <si>
    <t>C4: In total, how many years have you spent at school or in full-time study (excluding pre-school)?</t>
  </si>
  <si>
    <t>C5: What is the highest level of education you have completed?</t>
  </si>
  <si>
    <t>C7: What is your marital status?</t>
  </si>
  <si>
    <t>C8: Which of the following best describes your main work status over the past 12 months?</t>
  </si>
  <si>
    <t>C9: How many people older than 18 years, including yourself, live in your household?
C10peryear: Taking the past year, can you tell me what the average earning of the household has been?</t>
  </si>
  <si>
    <t>C11: If you don't know the amount, can you give an estimate of the annual household income if I read some options to you?</t>
  </si>
  <si>
    <t>T1: Do you currently smoke any tobacco products, such as cigarettes, cigars, or pipes?</t>
  </si>
  <si>
    <t>T1: Do you currently smoke any tobacco products, such as cigarettes, cigars, or pipes?
T2: Do you currently smoke tobacco products daily?
T8: In the past, did you ever smoke any tobacco products?</t>
  </si>
  <si>
    <t>T1: Do you currently smoke any tobacco products, such as cigarettes, cigars, or pipes?
T2: Do you currently smoke tobacco products daily?</t>
  </si>
  <si>
    <t>T1: Do you currently smoke any tobacco products, such as cigarettes, cigars, or pipes?
T2: Do you currently smoke tobacco products daily?
T3: How old were you when you first started smoking?
T4: Do you remember how long ago it was?</t>
  </si>
  <si>
    <t>T1: Do you currently smoke any tobacco products, such as cigarettes, cigars, or pipes?
T2: Do you currently smoke tobacco products daily?
T5: On average, how many of the following products do you smoke each day?</t>
  </si>
  <si>
    <t>T1: Do you currently smoke any tobacco products, such as cigarettes, cigars, or pipes?
T2: Do you currently smoke tobacco products daily?
T5 a - b: On average, how many of the following products do you smoke each day?</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</si>
  <si>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</si>
  <si>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</si>
  <si>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T1: Do you currently smoke any tobacco products, such as cigarettes, cigars, or pipes?
T6: During the past 12 months, have you tried to stop smoking?</t>
  </si>
  <si>
    <t>T1: Do you currently smoke any tobacco products, such as cigarettes, cigars, or pipes?
T7: During any visit to a doctor or other health worker in the past 12 months, were you advised to quit smoking tobacco?</t>
  </si>
  <si>
    <t>T12: Do you currently use any smokeless tobacco such as [snuff, chewing tobacco, betel]?</t>
  </si>
  <si>
    <t>T12: Do you currently use any smokeless tobacco such as [snuff, chewing tobacco, betel]?
T13: Do you currently use smokeless tobacco products daily?
T15: In the past, did you ever use smokeless tobacco such as [snuff, chewing tobacco, betel]?</t>
  </si>
  <si>
    <t>T12: Do you currently use any smokeless tobacco such as [snuff, chewing tobacco, betel]?
T13: Do you currently use smokeless tobacco products daily?
T15: In the past, did you ever use smokeless tobacco such as [snuff, chewing tobacco, betel]?
T16: In the past, did you ever use smokeless tobacco such as [snuff, chewing tobacco, betel] daily?</t>
  </si>
  <si>
    <t>T12: Do you currently use any smokeless tobacco such as [snuff, chewing tobacco, betel]?
T13: Do you currently use smokeless tobacco products daily?
T14: On average, how many times a day do you use…?</t>
  </si>
  <si>
    <t>T1: Do you currently smoke any tobacco products, such as cigarettes, cigars, or pipes?
T2: Do you currently smoke tobacco products daily?
T12: Do you currently use any smokeless tobacco such as [snuff, chewing tobacco, betel]?
T13: Do you currently use smokeless tobacco products daily?</t>
  </si>
  <si>
    <t>T17: In the past 30 days, did someone smoke in your home?</t>
  </si>
  <si>
    <t>T18: During the past 30 days, did someone smoke in closed areas in your workplace (in the building, in a work area or a specific office)?</t>
  </si>
  <si>
    <t>A1: Have you ever consumed any alcohol such as …?
A2: Have you consumed any alcohol in the past 12 months?
A5: Have you consumed any alcohol in the past 30 days?</t>
  </si>
  <si>
    <t>A2: Have you consumed any alcohol in the past 12 months?
A3: Did you stop drinking due to health reasons, such as a negative impact of drinking on your health or as per advice of your doctor or other health worker?</t>
  </si>
  <si>
    <t>A4: During the past 12 months, how frequently have you had at least one alcoholic drink?</t>
  </si>
  <si>
    <t>A6: During the past 30 days, on how many occasions did you have at least one alcoholic drink?</t>
  </si>
  <si>
    <t>A7: During the past 30 days, when you drank alcohol, on average, how many standard alcoholic drinks did you have during one occasion?</t>
  </si>
  <si>
    <t>A8: During the past 30 days, what was the largest number of standard alcoholic drinks you had on a single occasion, counting all types of alcoholic drinks together?</t>
  </si>
  <si>
    <t>A10a-g: During each of the past 7 days, how many standard drinks of any alcoholic drink did you have each day?</t>
  </si>
  <si>
    <t>P1 - P15b: activity at work, travel to and from places, and recreational activities</t>
  </si>
  <si>
    <t>Reading 1-3 systolic and diastolic blood pressure 
During the past two weeks, have you been treated for raised blood pressure with drugs (medication) prescribed by a doctor or other health worker?</t>
  </si>
  <si>
    <t>Have you ever had your blood pressure measured by a doctor or other health worker?
Have you ever been told by a doctor or other health worker that you have raised blood pressure or hypertension?
During the past two weeks, have you been treated for raised blood pressure with drugs (medication) prescribed by a doctor or other health worker?
Reading 1-3 systolic and diastolic blood pressure</t>
  </si>
  <si>
    <t>Gender, age
Smoking status
Systolic blood pressure measurements
History of diabetes
Total cholesterol measurements
Body mass index</t>
  </si>
  <si>
    <t>Current daily smoking
Less than five servings of fruit and/or vegetables per day
Not meeting WHO recommendations on physical activity for health (&lt;150 minutes of moderate activity per week, or equivalent)
Overweight or obese (BMI ≥ 25 kg/m2)
Raised BP (SBP ≥ 140 and/or DBP ≥ 90 mmHg or currently on medication for raised BP).</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</si>
  <si>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</si>
  <si>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D1: In a typical week, on how many days do you eat fruit?
D3: In a typical week, on how many days do you eat vegetables?</t>
  </si>
  <si>
    <t>D1: In a typical week, on how many days do you eat fruit?
D2: How many servings of fruit do you eat on one of those days?
D3: In a typical week, on how many days do you eat vegetables?
D4: How many servings of vegetables do you eat on one of those days?</t>
  </si>
  <si>
    <t>D5: How often do you add salt or a salty sauce such as soya sauce to your food right before you eat it or as you are eating it?</t>
  </si>
  <si>
    <t>D6: How often is salt, salty seasoning or a salty sauce added in cooking or preparing foods in your household?</t>
  </si>
  <si>
    <t>D7: How often do you eat processed food high in salt?</t>
  </si>
  <si>
    <t>D8: How much salt or salty sauce do you think you consume?</t>
  </si>
  <si>
    <t>D9: How important to you is lowering the salt in your diet?</t>
  </si>
  <si>
    <t>D10: Do you think that too much salt or salty sauce in your diet could cause a health problem?</t>
  </si>
  <si>
    <t xml:space="preserve">D11a-f: Do you do any of the following on a regular basis to control your salt intake?               </t>
  </si>
  <si>
    <t>H1: Have you ever had your blood pressure measured by a doctor or other health worker?
H2a: Have you ever been told by a doctor or other health worker that you have raised blood pressure or hypertension?
H3: In the past two weeks, have you taken any drugs (medication) for raised blood pressure prescribed by a doctor or other health worker?</t>
  </si>
  <si>
    <t>H1: Have you ever had your blood pressure measured by a doctor or other health worker?
H2a: Have you ever been told by a doctor or other health worker that you have raised blood pressure or hypertension?
H4: Have you ever seen a traditional healer for raised blood pressure?
H5: Are you currently taking any herbal or traditional remedy for your high blood pressure?</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</si>
  <si>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t>
  </si>
  <si>
    <t>H6: Have you ever had your blood sugar measured by a doctor or other health worker?
H7a: Have you ever been told by a doctor or other health worker that you have raised blood sugar or diabetes?
H10: Have you ever seen a traditional healer for diabetes or raised blood sugar?
H11: Are you currently taking any herbal or traditional remedy for your diabetes?</t>
  </si>
  <si>
    <t>H12: Have you ever had your cholesterol (fat levels in your blood) measured by a doctor or other health worker?
H13a: Have you ever been told by a doctor or other health worker that you have raised cholesterol?
H14: In the past two weeks, have you taken oral treatment (medication) for raised total cholesterol prescribed by a doctor or other health worker?</t>
  </si>
  <si>
    <t>H12: Have you ever had your cholesterol (fat levels in your blood) measured by a doctor or other health worker?
H13a: Have you ever been told by a doctor or other health worker that you have raised cholesterol?
H15: Have you ever seen a traditional healer for raised cholesterol?
H16: Are you currently taking any herbal or traditional remedy for your raised cholesterol?</t>
  </si>
  <si>
    <t>H17: Have you ever had a heart attack or chest pain from heart disease (angina) or a stroke (cerebrovascular accident or incident)?</t>
  </si>
  <si>
    <t>M4-6 (a-b): Reading 1-3 systolic and diastolic blood pressure</t>
  </si>
  <si>
    <t>M16 a-c: Reading 1-3 heart rate</t>
  </si>
  <si>
    <t>M8: For women:  Are you pregnant?
M11: Height
M12: Weight</t>
  </si>
  <si>
    <t>M8: For women:  Are you pregnant?
M14: Waist circumference measurement</t>
  </si>
  <si>
    <t>B1: During the last 12 hours have you had anything to eat or drink, other than water?
B5: Blood glucose measurement</t>
  </si>
  <si>
    <t>B8: Total cholesterol measurement</t>
  </si>
  <si>
    <t>M8: Are you pregnant?
B10: Had you been fasting prior to urine collection?
B14: Urinary sodium measurement
B15: Urinary creatinine measurement</t>
  </si>
  <si>
    <t>dem1a:Age group by sex</t>
  </si>
  <si>
    <t>dem1b:Education</t>
  </si>
  <si>
    <t>dem1c:Highest level of education</t>
  </si>
  <si>
    <t>dem1d:Ethnicity</t>
  </si>
  <si>
    <t>dem1e:Marital status</t>
  </si>
  <si>
    <t>dem1f:Employment status</t>
  </si>
  <si>
    <t>weight_step</t>
  </si>
  <si>
    <t>wstep1</t>
  </si>
  <si>
    <t>dem1g:Unpaid work and unemployed</t>
  </si>
  <si>
    <t>dem1h:Per capita annual income</t>
  </si>
  <si>
    <t>dem1i:Estimated household earnings</t>
  </si>
  <si>
    <t>wstep3</t>
  </si>
  <si>
    <t>wstep2</t>
  </si>
  <si>
    <t>ind_position</t>
  </si>
  <si>
    <t>2. Percentage who currently smoke tobacco daily</t>
  </si>
  <si>
    <t>1. Percentage who are lifetime abstainers;2. Percentage who are past-12-month abstainers;3.Percentage who currently drink (drank alcohol in the past 30 days)</t>
  </si>
  <si>
    <t>4;3;1</t>
  </si>
  <si>
    <t xml:space="preserve">1. Percentage who currently smoke tobacco </t>
  </si>
  <si>
    <t>Yes</t>
  </si>
  <si>
    <t>db1b:Diabetes treatment among those diagnosed</t>
  </si>
  <si>
    <t>bd1c:Diabetes treatment among those diagnosed</t>
  </si>
  <si>
    <t>pop_level_num_denom</t>
  </si>
  <si>
    <t>tob1d:Initiation and duration of smoking</t>
  </si>
  <si>
    <t>tob1e:Initiation and duration of smoking</t>
  </si>
  <si>
    <t>dt1l:Salt consumption</t>
  </si>
  <si>
    <t>dt1g:Fruit and vegetable consumption per day</t>
  </si>
  <si>
    <t>section</t>
  </si>
  <si>
    <t>derived_vars</t>
  </si>
  <si>
    <t>primary_vars</t>
  </si>
  <si>
    <t>logic_exp</t>
  </si>
  <si>
    <t>pnotmeetwho;p_levels;rev_ptotal;pwkday;ptravelday;precday;pwkday;ptravelday;precday;pa_valid;comp_wkday;comp_travelday;comp_recday</t>
  </si>
  <si>
    <t>c10type;c9;c10</t>
  </si>
  <si>
    <t>tob_initiation_age;tob_duration</t>
  </si>
  <si>
    <t>total_cig</t>
  </si>
  <si>
    <t>t5a;t5b</t>
  </si>
  <si>
    <t>drink_level;totaldrinkg;a7clnf</t>
  </si>
  <si>
    <t>c1;a1;a2;a5;a7</t>
  </si>
  <si>
    <t>a9clnf</t>
  </si>
  <si>
    <t>a9</t>
  </si>
  <si>
    <t>freq_alcohol;avg_drinks</t>
  </si>
  <si>
    <t>a10a;a10b;a10c;a10d;a10e;a10f;a10g</t>
  </si>
  <si>
    <t>avg_fruits;avg_veg;either_veg_fruit;freq_veg_fruit</t>
  </si>
  <si>
    <t>d1;d2;d3;d4</t>
  </si>
  <si>
    <t>sbp;raisedsbp</t>
  </si>
  <si>
    <t>m4a;m5a;m6a</t>
  </si>
  <si>
    <t>dbp;raiseddbp</t>
  </si>
  <si>
    <t>m4b;m5b;m6b</t>
  </si>
  <si>
    <t>cln_bp</t>
  </si>
  <si>
    <t>heartrate;clnheartrate</t>
  </si>
  <si>
    <t>m16a;m16b;m16c</t>
  </si>
  <si>
    <t>bmi;bmicln</t>
  </si>
  <si>
    <t>m11;m12;sex;m8;age</t>
  </si>
  <si>
    <t>m14;m15</t>
  </si>
  <si>
    <t>cln_gluc</t>
  </si>
  <si>
    <t>b1;b5</t>
  </si>
  <si>
    <t>blood_gluclass</t>
  </si>
  <si>
    <t>diabtr</t>
  </si>
  <si>
    <t>h6;h8;h9</t>
  </si>
  <si>
    <t>clnall_gluc</t>
  </si>
  <si>
    <t>diagn</t>
  </si>
  <si>
    <t>b5;h6;h8;h9;h7a</t>
  </si>
  <si>
    <t>b8mg;cln_b8</t>
  </si>
  <si>
    <t>b8</t>
  </si>
  <si>
    <t>nagr;na_cln</t>
  </si>
  <si>
    <t>m11;m12;sex;m8;age;b14;b15;b10</t>
  </si>
  <si>
    <t>calib_risk</t>
  </si>
  <si>
    <t>h7a;h6;t1;age;m4a;m5a;m6a;b8</t>
  </si>
  <si>
    <t>drugcouns</t>
  </si>
  <si>
    <t>rr;rrcln</t>
  </si>
  <si>
    <t>p2;p3a;p3b;p5;p6a;p6b;p8;p9a;p9b;p11;p12a;p12b;p14;p15a;p15b;p16a;p16b</t>
  </si>
  <si>
    <t>t1;t2;d1;d2;d3;d4;age;sex;p2;p3a;p3b;p5;p6a;p6b;p8;p9a;p9b;p11;p12a;p12b;p14;p15a;p15b;m11;m12;sex;m8;age;m4a;m5a;m6a;m7;h3</t>
  </si>
  <si>
    <t>data = data %&gt;% rowwise %&gt;%mutate(c10peryear = ifelse(!is.null(c10type),
                                  case_when(c10type == 'year' ~ c10/c9,
                                     c10type == 'month' ~ c10*12/c9,
                                     c10type == 'week' ~ c10*52/c9),c10/c9))</t>
  </si>
  <si>
    <t>data = data %&gt;% rowwise %&gt;%mutate(sbp = case_when((is.na(m4a)|!is.na(m4a)) &amp; !is.na(m5a) &amp; !is.na(m6a) ~ (m5a + m6a) / 2,
                         !is.na(m4a) &amp; is.na(m5a) &amp; !is.na(m6a) ~ (m4a + m6a) / 2,
                         !is.na(m4a) &amp; !is.na(m5a) &amp; is.na(m6a) ~ (m4a + m5a) / 2,TRUE ~ NA_real_),raisedsbp = case_when(sbp &lt; 140 ~ 1,sbp &gt;= 140 &amp; sbp &lt; 160 ~ 2,sbp &gt;= 160 ~ 3,TRUE ~ NA_integer_))</t>
  </si>
  <si>
    <t>data = data %&gt;% rowwise %&gt;%mutate(M16aCLN = ifelse(m16a &gt;= 30 &amp; m16a &lt;= 200, 1, 2),
         M16bCLN = ifelse(m16b &gt;= 30 &amp; m16b &lt;= 200, 1, 2),
         M16cCLN = ifelse(m16c &gt;= 30 &amp; m16c &lt;= 200, 1, 2),
         heartrate = case_when(
           M16aCLN == 1 &amp; M16bCLN == 1 &amp; M16cCLN == 1 ~ (m16a + m16b + m16c) / 3,
           M16aCLN == 2 &amp; M16bCLN == 1 &amp; M16cCLN == 1 ~ (m16b + m16c) / 2,
           M16aCLN == 1 &amp; M16bCLN == 2 &amp; M16cCLN == 1 ~ (m16a + m16c) / 2,
           M16aCLN == 1 &amp; M16bCLN == 1 &amp; M16cCLN == 2 ~ (m16a + m16b) / 2,
           M16aCLN == 1 &amp; M16bCLN == 2 &amp; M16cCLN == 2 ~ m16a,
           M16aCLN == 2 &amp; M16bCLN == 1 &amp; M16cCLN == 2 ~ m16b,
           M16aCLN == 2 &amp; M16bCLN == 2 &amp; M16cCLN == 1 ~ m16c,
           TRUE ~ NA_real_
         ),
         clnheartrate = ifelse(heartrate &gt;= 30 &amp; heartrate &lt;= 200 &amp; valid == 1, 1, 2))</t>
  </si>
  <si>
    <t>data = data %&gt;% rowwise %&gt;%mutate(bmi = (m12 / (m11 * m11)) * 10000,
         M11CLN = ifelse(m11 &gt;= 100 &amp; m11 &lt;= 270 &amp; valid == 1, 1, 2),
         M12CLN = ifelse(m12 &gt;= 20 &amp; m12 &lt;= 350 &amp; valid == 1, 1, 2),
         bmicln = case_when(
           M12CLN == 1 &amp; M11CLN == 1 ~ 1,
           (sex == "Women" &amp; m8 == 1)|(bmi&lt;14 | bmi&gt;60) ~ 2,
           bmi &lt; 14 | bmi &gt; 60 ~ 2,TRUE ~ 2),
         bmicln=ifelse((sex == "Women" &amp; m8 == 1)|(bmi&lt;14 | bmi&gt;60),2,bmicln),
         bmi_cat = case_when(
           bmi &lt; 18.5 ~ 1, 
           bmi &gt;= 18.5 &amp; bmi &lt; 25 ~ 2,
           bmi &gt;= 25 &amp; bmi &lt; 30 ~ 3,
           bmi &gt;= 30 ~ 4 
         ),
         bmi_cat = ifelse(age &lt; 19, 2, bmi_cat),
         bmi_cat = case_when(
           (sex == "Men" &amp; age == 15 &amp; bmi &lt; 16.3) |(sex == "Men" &amp; age == 16 &amp; bmi &lt; 16.7) |
             (sex == "Men" &amp; age == 17 &amp; bmi &lt; 17.1) |(sex == "Men" &amp; age == 18 &amp; bmi &lt; 17.4) |
             (sex == "Women" &amp; age == 15 &amp; bmi &lt; 16) |(sex == "Women" &amp; age == 16 &amp; bmi &lt; 16.3) |
             (sex == "Women" &amp; age == 17 &amp; bmi &lt; 16.4) |(sex == "Women" &amp; age == 18 &amp; bmi &lt; 16.5) ~ 1,
           TRUE ~ bmi_cat
         ),
         bmi_cat = case_when(
           (sex == "Men" &amp; age == 15 &amp; bmi &gt; 23.1) |(sex == "Men" &amp; age == 16 &amp; bmi &gt; 23.9) |
             (sex == "Men" &amp; age == 17 &amp; bmi &gt; 24.6) |(sex == "Men" &amp; age == 18 &amp; bmi &gt; 25.2) |
             (sex == "Women" &amp; age == 15 &amp; bmi &gt; 23.8) |(sex == "Women" &amp; age == 16 &amp; bmi &gt; 24.3) |
             (sex == "Women" &amp; age == 17 &amp; bmi &gt; 24.6) |(sex == "Women" &amp; age == 18 &amp; bmi &gt; 24.9) ~ 3,
           TRUE ~ bmi_cat
         ),
         bmi_cat = case_when(
           (sex == "Men" &amp; age == 15 &amp; bmi &gt; 27.4) |(sex == "Men" &amp; age == 16 &amp; bmi &gt; 28.3) |
             (sex == "Men" &amp; age == 17 &amp; bmi &gt; 29) |(sex == "Men" &amp; age == 18 &amp; bmi &gt; 29.5) |
             (sex == "Women" &amp; age == 15 &amp; bmi &gt; 28.6) |(sex == "Women" &amp; age == 16 &amp; bmi &gt; 29.1) |
             (sex == "Women" &amp; age == 17 &amp; bmi &gt; 29.4) |(sex == "Women" &amp; age == 18 &amp; bmi &gt; 29.6) ~ 4,
           TRUE ~ bmi_cat
         ))</t>
  </si>
  <si>
    <t>data = data %&gt;% rowwise %&gt;%mutate(waist_hip_ratio = m14/m15)</t>
  </si>
  <si>
    <t>data = data %&gt;% rowwise %&gt;%mutate(b5mg = b5 * 18.01)</t>
  </si>
  <si>
    <t>data = data %&gt;% rowwise %&gt;%mutate(blood_gluclass = case_when(
           b5 &lt; 6.1 ~ 1,
           b5 &gt;= 6.1 &amp; b5 &lt; 7.0 ~ 2,
           b5 &gt;= 7.0  ~ 3
         ))</t>
  </si>
  <si>
    <t>data = data %&gt;% rowwise %&gt;%mutate(diagn = case_when(
           b5 &gt;= 7.0 &amp; b5 &lt;= 35 &amp; (h7a == 2 | is.na(h7a)) ~ 1,
           h7a == 1 &amp; diabtr == 2 ~ 2,
           h7a == 1 &amp; diabtr == 1 ~ 3,
           (h7a == 2 | is.na(h7a)) &amp; b5 &lt; 7.0 &amp; b5 &gt;= 1 ~ 4))</t>
  </si>
  <si>
    <t>data = data %&gt;% rowwise %&gt;%mutate(cvddrugs = ifelse((!is.na(h3) &amp; h3 == 1) | (!is.na(h8) &amp; h8 == 1) | (!is.na(h9) &amp; h9 == 1) | (!is.na(h14) &amp; h14 == 1) | (!is.na(h18) &amp; h18 == 1) | (!is.na(h19) &amp; h19 == 1), 1, 0),
         counseling = ifelse((!is.na(h20a) &amp; h20a == 1) | (!is.na(h20b) &amp; h20b == 1) | (!is.na(h20c) &amp; h20c == 1) | (!is.na(h20d) &amp; h20d == 1) | (!is.na(h20e) &amp; h20e == 1) | (!is.na(h20f) &amp; h20f == 1), 1, 0),
         drugcouns = ifelse(cvddrugs == 1 &amp; counseling == 1 &amp; (!is.na(calib_risk) &amp; calib_risk&gt;=20 |h17==1), 1,0))</t>
  </si>
  <si>
    <t>data = data %&gt;% rowwise %&gt;%mutate(t1cln = ifelse(t1 == 1 | t1 == 2, 1, 2),
                                t2cln = ifelse(t1 == 1 &amp; (t2 == 1 | t2 == 2), 1, ifelse(t1 == 2 &amp; (is.na(t2) | t2 == 2), 1, 2)),
                                smokecln = ifelse(t1cln == 1 &amp; t2cln == 1, 1, 2),
                                smoke = ifelse(t1 == 1 &amp; t2 == 1, 1, 0),
                                d2 = ifelse(d1 == 0 &amp; (is.na(d2) | d2 &gt; 20), 0, d2),
                                d4 = ifelse(d3 == 0 &amp; (is.na(d4) | d4 &gt; 20), 0, d4),
                                d2 = ifelse(d1 &gt;= 1 &amp; d1 &lt;= 7 &amp; d2 &gt; 20, NA, d2),
                                d4 = ifelse(d3 &gt;= 1 &amp; d3 &lt;= 7 &amp; d4 &gt; 20, NA, d4),
                                d1cln = ifelse(is.na(d1) | d1 &gt; 7, 2, 1),
                                d3cln = ifelse(is.na(d3) | d3 &gt; 7, 2, 1),
                                d2cln = ifelse((d1cln == 1 &amp; d1 &gt; 0 &amp; d2 &gt; 0) | (d1 == 0 &amp; d2 == 0), 1, 2),
                                d4cln = ifelse((d3cln == 1 &amp; d3 &gt; 0 &amp; d4 &gt; 0) | (d3 == 0 &amp; d4 == 0), 1, 2),
                                d2cln = ifelse(d1 == 0 &amp; d2 == 0, 1, d2cln),
                                d4cln = ifelse(d3 == 0 &amp; d4 == 0, 1, d4cln),
                                fruitcln = ifelse(d1cln == 1 &amp; d2cln == 1 &amp; valid == 1, 1, 2),
                                vegcln = ifelse(d3cln == 1 &amp; d4cln == 1 &amp; valid == 1, 1, 2),
                                fvcln = ifelse(fruitcln == 1 | vegcln == 1, 1, 2),
                                lessthan5 = ifelse(either_veg_fruit &lt; 5, 1, 0),
                                pacln = ifelse(pa_valid==1, 1, 2),
                                lowpa = ifelse(ptotal &lt; 600, 1, 0),
                                highbmi = ifelse(bmi &gt;= 25 &amp; !(age &lt; 19 &amp; (sex == "Men" &amp; (age == 15 &amp; bmi &lt;= 23.1 | age == 16 &amp; bmi &lt;= 23.9 | age == 17 &amp; bmi &lt;= 24.6 | age == 18 &amp; bmi &lt;= 25.2) | sex == "Women" &amp; (age == 15 &amp; bmi &lt;= 23.8 | age == 16 &amp; bmi &lt;= 24.3 | age == 17 &amp; bmi &lt;= 24.6 | age == 18 &amp; bmi &lt;= 24.9))), 1, 0),
                                sbpcln = ifelse((sbp &gt;= 40 &amp; sbp &lt;= 300) &amp; (dbp &gt;= 30 &amp; dbp &lt;= 200), 1, 2),
                                dbpcln = ifelse((sbp &gt;= 40 &amp; sbp &lt;= 300) &amp; (dbp &gt;= 30 &amp; dbp &lt;= 200), 1, 2),
                                raisedbp_c = ifelse(raisedbp_140_90_meds==1, 1, 0),
                                raisedbp_c = ifelse(is.na(raisedbp_c),0,raisedbp_c),
                                rr = smoke + lessthan5 + lowpa + highbmi + raisedbp_c,
                                rrcln = ifelse(smokecln == 1 &amp; fvcln == 1 &amp; cln_bp == 1 &amp; pacln == 1 &amp; bmicln == 1, 1, 0))</t>
  </si>
  <si>
    <t>Per capita annual income</t>
  </si>
  <si>
    <t>primary_variables</t>
  </si>
  <si>
    <t>T1</t>
  </si>
  <si>
    <t>T1;T2;T8</t>
  </si>
  <si>
    <t>T1;T2</t>
  </si>
  <si>
    <t>T1;T2;T5a;T5aw</t>
  </si>
  <si>
    <t>T1;T5a;T5aw</t>
  </si>
  <si>
    <t>T1;T2;T5a;T5b</t>
  </si>
  <si>
    <t>T9</t>
  </si>
  <si>
    <t>T2;T9</t>
  </si>
  <si>
    <t>T1;T7</t>
  </si>
  <si>
    <t>T12</t>
  </si>
  <si>
    <t>T12;T13;T15</t>
  </si>
  <si>
    <t>T16</t>
  </si>
  <si>
    <t>T13;T16</t>
  </si>
  <si>
    <t>T1;T12</t>
  </si>
  <si>
    <t>T1;T2;T12;T13</t>
  </si>
  <si>
    <t>T17</t>
  </si>
  <si>
    <t>T18</t>
  </si>
  <si>
    <t>A5;A2;A1</t>
  </si>
  <si>
    <t>A1;A2;A3</t>
  </si>
  <si>
    <t>A2;A4</t>
  </si>
  <si>
    <t>A5;A6</t>
  </si>
  <si>
    <t>A5;A7</t>
  </si>
  <si>
    <t>A5;A8</t>
  </si>
  <si>
    <t>A5;A9</t>
  </si>
  <si>
    <t>D5</t>
  </si>
  <si>
    <t>D6</t>
  </si>
  <si>
    <t>D7</t>
  </si>
  <si>
    <t>D8</t>
  </si>
  <si>
    <t>D9</t>
  </si>
  <si>
    <t>D10</t>
  </si>
  <si>
    <t>D11a</t>
  </si>
  <si>
    <t>D11b</t>
  </si>
  <si>
    <t>D11c</t>
  </si>
  <si>
    <t>D11d</t>
  </si>
  <si>
    <t>D11e</t>
  </si>
  <si>
    <t>D11f</t>
  </si>
  <si>
    <t>H1;H2a;H2b</t>
  </si>
  <si>
    <t>H3;H2a</t>
  </si>
  <si>
    <t>H4;H2a</t>
  </si>
  <si>
    <t>H5;H2a</t>
  </si>
  <si>
    <t>H6;H7a;H7b</t>
  </si>
  <si>
    <t>H9;H7a</t>
  </si>
  <si>
    <t>H8;H7a</t>
  </si>
  <si>
    <t>H10;H7a</t>
  </si>
  <si>
    <t>H11;H7a</t>
  </si>
  <si>
    <t>H12;H13a;H13b</t>
  </si>
  <si>
    <t>H14;H13a</t>
  </si>
  <si>
    <t>H15;H13a</t>
  </si>
  <si>
    <t>H16;H13a</t>
  </si>
  <si>
    <t>H17</t>
  </si>
  <si>
    <t>H18</t>
  </si>
  <si>
    <t>H19</t>
  </si>
  <si>
    <t>H20a;H20</t>
  </si>
  <si>
    <t>H20b;H20</t>
  </si>
  <si>
    <t>H20c;H20</t>
  </si>
  <si>
    <t>H20d;H20</t>
  </si>
  <si>
    <t>H20e;H20</t>
  </si>
  <si>
    <t>H20f;H20</t>
  </si>
  <si>
    <t>H20g;H20</t>
  </si>
  <si>
    <t>CX1</t>
  </si>
  <si>
    <t>CX1;Age</t>
  </si>
  <si>
    <t>age</t>
  </si>
  <si>
    <t>H17;age</t>
  </si>
  <si>
    <t>T1;T5a;T5aw;T5b;T5bw;T5c;T5cw;T5d;T5dw;T5e;T5ew;T5f;T5fw</t>
  </si>
  <si>
    <t>Item</t>
  </si>
  <si>
    <t>ENGLISH</t>
  </si>
  <si>
    <t>FRENCH</t>
  </si>
  <si>
    <t>ARABIC</t>
  </si>
  <si>
    <t>SPANISH</t>
  </si>
  <si>
    <t>RUSSIAN</t>
  </si>
  <si>
    <t>OTHER</t>
  </si>
  <si>
    <t>Hommes</t>
  </si>
  <si>
    <t>رجال</t>
  </si>
  <si>
    <t>Hombres</t>
  </si>
  <si>
    <t>Люди</t>
  </si>
  <si>
    <t>Femmes</t>
  </si>
  <si>
    <t>نحيف</t>
  </si>
  <si>
    <t>Mujer</t>
  </si>
  <si>
    <t>Женщины</t>
  </si>
  <si>
    <t>Both Sexes</t>
  </si>
  <si>
    <t>Les deux sexes</t>
  </si>
  <si>
    <t>كلا الجنسين</t>
  </si>
  <si>
    <t>Ambos sexos</t>
  </si>
  <si>
    <t>Оба пола</t>
  </si>
  <si>
    <t>Total</t>
  </si>
  <si>
    <t>مجموع</t>
  </si>
  <si>
    <t>Общий</t>
  </si>
  <si>
    <t>95% CI</t>
  </si>
  <si>
    <t>IC à 95 %</t>
  </si>
  <si>
    <t>95% سي</t>
  </si>
  <si>
    <t>IC del 95%</t>
  </si>
  <si>
    <t>95% ДИ</t>
  </si>
  <si>
    <t>Description</t>
  </si>
  <si>
    <t>وصف</t>
  </si>
  <si>
    <t>Descripción</t>
  </si>
  <si>
    <t>Описание</t>
  </si>
  <si>
    <t>Instrument question</t>
  </si>
  <si>
    <t>Question sur les instruments</t>
  </si>
  <si>
    <t>سؤال حول الصكوك</t>
  </si>
  <si>
    <t>pregunta sobre instrumentos</t>
  </si>
  <si>
    <t>Вопрос по инструментам</t>
  </si>
  <si>
    <t>Age Group (years)</t>
  </si>
  <si>
    <t>Tranche d'âge (années)</t>
  </si>
  <si>
    <t>الفئة العمرية (سنوات)</t>
  </si>
  <si>
    <t>Rango de edad (años)</t>
  </si>
  <si>
    <t>Возрастной диапазон (лет)</t>
  </si>
  <si>
    <t>moyenne</t>
  </si>
  <si>
    <t>متوسط</t>
  </si>
  <si>
    <t>promedio</t>
  </si>
  <si>
    <t>средний</t>
  </si>
  <si>
    <t>Inter-quartile range</t>
  </si>
  <si>
    <t>Gamme interquartile</t>
  </si>
  <si>
    <t>النطاق الربيعي</t>
  </si>
  <si>
    <t>Rango intercuartil</t>
  </si>
  <si>
    <t>Межквартильный размах</t>
  </si>
  <si>
    <t>T1;age;t10</t>
  </si>
  <si>
    <t>A5;a10a;a10b;a10c;a10d;a10e;a10f;a10g</t>
  </si>
  <si>
    <t>A11;a10a;a10b;a10c;a10d;a10e;a10f;a10g;a1;a2;a11</t>
  </si>
  <si>
    <t>m4a;m5a;m6a;m4b;m5b;m6b</t>
  </si>
  <si>
    <t>T1;T2;t3;age</t>
  </si>
  <si>
    <t>total_col</t>
  </si>
  <si>
    <t>total_overall</t>
  </si>
  <si>
    <t>total_cig&lt;5;total_cig&gt;=5 &amp; total_cig&lt;10;total_cig&gt;=10 &amp; total_cig&lt;15;total_cig&gt;=15 &amp; total_cig&lt;25;total_cig&gt;=25</t>
  </si>
  <si>
    <t>calib_risk&lt;10;calib_risk&gt;=10 &amp; calib_risk&lt;20;calib_risk&gt;=20</t>
  </si>
  <si>
    <t>T5a&gt;0 | T5aw&gt;0</t>
  </si>
  <si>
    <t>T5a&gt;0 | T5aw&gt;0;T5b&gt;0 | T5bw&gt;0;T5c&gt;0 | T5cw&gt;0;T5d&gt;0 | T5dw&gt;0;T5e&gt;0 | T5ew&gt;0;T5f&gt;0 | T5fw&gt;0</t>
  </si>
  <si>
    <t>(raisedsbp&gt;=2) | (raiseddbp&gt;=2)</t>
  </si>
  <si>
    <t>age&gt;=40 &amp; age &lt;70 &amp; !is.na(calib_risk);age&gt;=40 &amp; age &lt;70 &amp; !is.na(calib_risk);age&gt;=40 &amp; age &lt;70 &amp; !is.na(calib_risk)</t>
  </si>
  <si>
    <t>Male</t>
  </si>
  <si>
    <t>Female</t>
  </si>
  <si>
    <t>Mental Health</t>
  </si>
  <si>
    <t>deprepisode;screenpos;symptomcount</t>
  </si>
  <si>
    <t>mh1;mh2;mh4;mh5;mh6;mh7;mh8;mh9;mh10;mh11;mh12;mh13</t>
  </si>
  <si>
    <t>Cervical cancer screening prevalence</t>
  </si>
  <si>
    <t>Cervical cancer screening among women aged 30-49 years</t>
  </si>
  <si>
    <t>include_in_analysis</t>
  </si>
  <si>
    <t>tob1cig:Cigarette smokers</t>
  </si>
  <si>
    <t>Cigarette smokers (manufactured or hand rolled)</t>
  </si>
  <si>
    <t>T1: Do you currently smoke any tobacco products, such as cigarettes, cigars, or pipes?
T5: On average, how many of the following products do you smoke each day?
T5: On average, how many of the following products do you smoke each week?</t>
  </si>
  <si>
    <t>T5a&gt;0 | T5aw&gt;0 | T5b&gt;0 | T5bw&gt;0</t>
  </si>
  <si>
    <t>T1;T5a;T5aw;T5b;T5bw</t>
  </si>
  <si>
    <t>tob1cigdaily:Cigarette smokers</t>
  </si>
  <si>
    <t>T5a&gt;0 | T5b&gt;0</t>
  </si>
  <si>
    <t>T1;T5a;T5b</t>
  </si>
  <si>
    <t>Current daily cigarette smokers among smokers</t>
  </si>
  <si>
    <t>T1: Do you currently smoke any tobacco products, such as cigarettes, cigars, or pipes?
T2: Do you currently smoke tobacco products daily?
T8: In the past, did you ever smoke any tobacco products?
T12: Do you currently use any smokeless tobacco such as [snuff, chewing tobacco, betel]?
T13: Do you currently use smokeless tobacco products daily?
T15: In the past, did you ever use smokeless tobacco such as [snuff, chewing tobacco, betel]?</t>
  </si>
  <si>
    <t>T1;T2;T8;T12;T13;T15</t>
  </si>
  <si>
    <t>Tobacco use status</t>
  </si>
  <si>
    <t>data = data %&gt;% rowwise %&gt;%mutate(clnall_gluc = if_else(fasted == 1  &amp; valid == 1, 1, 2))</t>
  </si>
  <si>
    <t>h6;h8;h9;b5</t>
  </si>
  <si>
    <t>data = data %&gt;%rowwise %&gt;%mutate(dbp = case_when((is.na(m4b)|!is.na(m4b)) &amp; !is.na(m5b) &amp; !is.na(m6b) ~ (m5b + m6b) / 2,
                                                 !is.na(m4b) &amp; is.na(m5b) &amp; !is.na(m6b) ~ (m4b + m6b) / 2,
                                                 !is.na(m4b) &amp; !is.na(m5b) &amp; is.na(m6b) ~ (m4b + m5b) / 2,TRUE ~ NA_real_),raiseddbp = case_when(dbp &lt; 90 ~ 1,dbp &gt;= 90 &amp; dbp &lt; 100 ~ 2,dbp &gt;= 100 ~ 3,TRUE ~ NA_integer_))</t>
  </si>
  <si>
    <t>data = data %&gt;% rowwise %&gt;%mutate(cln_bp = ifelse((!is.na(sbp) | !is.na(dbp)),1,2),
                                  cln_bp = replace(cln_bp,cln_bp==1 &amp; h3==1 &amp; (h2a==2 | is.na(h2a)),2))</t>
  </si>
  <si>
    <t>Raised blood pressure diagnosis among those with raised blood pressure (SBP ≥ 140 and/or DBP ≥ 90 mmHg) or on medication for raised blood pressure</t>
  </si>
  <si>
    <t xml:space="preserve">Have you ever had your blood pressure measured by a doctor or other health worker?
Have you ever been told by a doctor or other health worker that you have raised blood pressure or hypertension?
</t>
  </si>
  <si>
    <t>h1;h2a</t>
  </si>
  <si>
    <t>diagnosed</t>
  </si>
  <si>
    <t>previously diagnosed</t>
  </si>
  <si>
    <t>controlled</t>
  </si>
  <si>
    <t>raisedbg_or_meds</t>
  </si>
  <si>
    <t>data = data %&gt;% rowwise %&gt;%mutate(raisedbg_or_meds = if_else((blood_gluclass == 3  | diabtr == 1) &amp; cln_gluc == 1, 1, 2))</t>
  </si>
  <si>
    <t>data = data %&gt;% rowwise %&gt;%mutate(diabtr = if_else(h8 == 1 | h9 == 1, 1, 2))</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</si>
  <si>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
B1: During the last 12 hours have you had anything to eat or drink, other than water?
B5: Blood glucose measurement</t>
  </si>
  <si>
    <t>on medication</t>
  </si>
  <si>
    <t>m4a;m5a;m6a;m4b;m5b;m6b;h3;h2a</t>
  </si>
  <si>
    <t>m4a;m5a;m6a;h3</t>
  </si>
  <si>
    <t>t1;t2;d1;d2;d3;d4;age;sex;p2;p3a;p3b;p5;p6a;p6b;p8;p9a;p9b;p11;p12a;p12b;p14;p15a;p15b;m11;m12;m8;m4a;m5a;m6a;h3</t>
  </si>
  <si>
    <t>H18: Are you currently taking aspirin regularly to prevent or treat heart disease?
H19: Are you currently taking statins (Lovastatin/Simvastatin/Atorvastatin or any other statin) regularly to prevent or treat heart disease?</t>
  </si>
  <si>
    <t>Percentage of former drinkers (those who did not drink during the past 12 months) who stopped drinking due to health reasons, such as a negative impact of drinking on your health or as per advice of a doctor or other health worker among those  who drank in their lifetime, but not in the last 12 months</t>
  </si>
  <si>
    <t>Frequency of alcohol consumption in the past 12 months among those who drank in the last 12 months</t>
  </si>
  <si>
    <t>10-year cardiovascular disease (CVD) risk* among population aged 40-69 years</t>
  </si>
  <si>
    <t>C1: Sex
C2. What is your date of birth?</t>
  </si>
  <si>
    <t>cxs1a:Cervical cancer screening</t>
  </si>
  <si>
    <t>ccs1b:Cervical cancer screening</t>
  </si>
  <si>
    <t>Percentage of female population who have ever had a screening test for cervical cancer</t>
  </si>
  <si>
    <t>collevel2_full</t>
  </si>
  <si>
    <t>collevel1_2_full</t>
  </si>
  <si>
    <t>median</t>
  </si>
  <si>
    <t>categorical;categorical;categorical;categorical</t>
  </si>
  <si>
    <t>3. Percentage of daily smokers smoking manufactured cigarettes</t>
  </si>
  <si>
    <t>4. Mean number of manufactured cigarettes smoked per day among daily smokers</t>
  </si>
  <si>
    <t>5. Percentage who currently use smokeless tobacco</t>
  </si>
  <si>
    <t>1. Percentage who ate less than 5 servings of fruit and/or vegetables on average per day</t>
  </si>
  <si>
    <t>2. Percentage who always or often add salt or salty sauce to their food before eating or as they are eating</t>
  </si>
  <si>
    <t>3. Percentage who always or often eat processed foods high in salt</t>
  </si>
  <si>
    <t>no recreation-related activity</t>
  </si>
  <si>
    <t>no transport-related activity</t>
  </si>
  <si>
    <t>2. Percentage not doing any leisure activities
(sports, fitness or recreational activities)</t>
  </si>
  <si>
    <t>5. Percentage previously diagnosed among those with hypertension</t>
  </si>
  <si>
    <t>6. Percentage who are currently on treatment for raised blood pressure among those with hypertension</t>
  </si>
  <si>
    <t xml:space="preserve">7. Percentage with controlled blood pressure among those with hypertension </t>
  </si>
  <si>
    <t>2. Percentage with diabetes 
(plasma venous value ≥ 7.0 mmol/L (126 mg/dl) or capillary whole blood value ≥ 6.1 mmol/L (110 mg/dl) or currently on medication for diabetes)</t>
  </si>
  <si>
    <t xml:space="preserve">3. Percentage previously diagnosed among those with diabetes </t>
  </si>
  <si>
    <t>1. Percentage who are overweight (BMI ≥ 25 kg/m2)</t>
  </si>
  <si>
    <t>2. Percentage who are obese (BMI ≥ 30 kg/m2)</t>
  </si>
  <si>
    <t>3. Percentage with hypertension
(SBP ≥ 140 and/or DBP ≥ 90 mmHg or currently on hypertension medication)</t>
  </si>
  <si>
    <t>4. Prevalence of uncontrolled hypertension
(SBP &gt;= 140 or DBP &gt;= 90)</t>
  </si>
  <si>
    <t>1. Percentage of women aged 30-49 years who have ever had a screening test for cervical cancer</t>
  </si>
  <si>
    <t>3. Percentage not engaging in vigorous activity</t>
  </si>
  <si>
    <t>4. Percentage who engage in heavy episodic drinking (6 or more drinks on any occasion in the past 30 days)</t>
  </si>
  <si>
    <t>mh1depr:Depression</t>
  </si>
  <si>
    <t>Prevalence of depression</t>
  </si>
  <si>
    <t>mh2meds:Depression medication</t>
  </si>
  <si>
    <t>mh13;mh14</t>
  </si>
  <si>
    <t>mh4meds:Depression therapy</t>
  </si>
  <si>
    <t>mh13;mh15</t>
  </si>
  <si>
    <t>Depression medication</t>
  </si>
  <si>
    <t>median_b16;b16mg</t>
  </si>
  <si>
    <t>b16</t>
  </si>
  <si>
    <t>data &lt;- data %&gt;%
  ungroup() %&gt;%
  mutate(median_b16 = median(b16, na.rm = TRUE)) %&gt;%
  mutate(b16 = ifelse(median_b16 &gt; 5.6, b16 / 88.57, b16)) %&gt;%
  rowwise() %&gt;%
  mutate(b16 = ifelse(b16 &gt;= 0.6 &amp; b16 &lt;= 5.6, b16, NA),
         b16mg = b16 * 88.57) %&gt;%
  ungroup()</t>
  </si>
  <si>
    <t>median_b17;b17mg</t>
  </si>
  <si>
    <t>b17</t>
  </si>
  <si>
    <t>data &lt;- data %&gt;%
  ungroup() %&gt;%
  mutate(median_b17 = median(b17, na.rm = TRUE)) %&gt;%
  mutate(b17 = ifelse(median_b17 &gt; 2.6, b17 / 38.67, b17)) %&gt;%
  rowwise() %&gt;%
  mutate(b17 = ifelse(b17 &gt;= 0.3 &amp; b17 &lt;= 2.6, b17, NA),
         b17mg = b17 * 38.67) %&gt;%
  ungroup()</t>
  </si>
  <si>
    <t>median_b18;b18mg</t>
  </si>
  <si>
    <t>b18</t>
  </si>
  <si>
    <t>data &lt;- data %&gt;%
  ungroup() %&gt;%
  mutate(median_b18 = median(b18, na.rm = TRUE)) %&gt;%
  mutate(b18 = ifelse(median_b18 &gt; 5.2, b18 / 38.67, b18)) %&gt;%
  rowwise() %&gt;%
  mutate(b18 = ifelse(b18 &gt;= 1.3 &amp; b18 &lt;= 5.2, b18, NA),
         b18mg = b18 * 38.67) %&gt;%
  ungroup()</t>
  </si>
  <si>
    <t>Percentage of the population exposed second-hand smoke in the home in the past 30 days</t>
  </si>
  <si>
    <t>Percentage of the population exposed second-hand smoke in the workplace in the past 30 days</t>
  </si>
  <si>
    <t>Percentage of the population with different drinking levels.
A standard drink contains approximately 10g of pure alcohol</t>
  </si>
  <si>
    <t>Percentage of the population who had six or more drinks on any occasion in the past 30 days during a single occasion among the total population.</t>
  </si>
  <si>
    <t>Percentage of the population that consumed unrecorded alcohol (homebrewed alcohol, alcohol brought over the border, not intended for drinking or other untaxed alcohol) during the past 7 days among current (past 30 days) drinkers</t>
  </si>
  <si>
    <t>Percentage of the population who always or often add salt or salty sauce to their food before eating or as they are eating</t>
  </si>
  <si>
    <t>Percentage of the population who always or often eat processed foods high in salt</t>
  </si>
  <si>
    <t>Percentage of the population who think they consume far too much or too much salt</t>
  </si>
  <si>
    <t>Percentage of the population who think lowering salt in diet is very, somewhat or not at all important</t>
  </si>
  <si>
    <t>Percentage of the population who think consuming too much salt could cause a serious health problem</t>
  </si>
  <si>
    <t>Percentage of the population who take specific action on a regular basis to control salt intake</t>
  </si>
  <si>
    <t>Percentage of the population not meeting WHO recommendations on physical activity for health (population doing less than 150 minutes of moderate-intensity physical activity per week, or equivalent)</t>
  </si>
  <si>
    <t>Percentage of the population classified into three categories of total physical activity according to former recommendations</t>
  </si>
  <si>
    <t>Percentage of the population classified as doing no work-, transport- or recreational-related physical activity</t>
  </si>
  <si>
    <t>Percentage of the population not engaging in vigorous physical activity</t>
  </si>
  <si>
    <t>Percentage of the population who have sought advice or received treatment from a traditional healer for raised blood pressure among those previously diagnosed with raised blood pressure</t>
  </si>
  <si>
    <t>Percentage of the population who are currently taking aspirin or statins regularly to prevent or treat heart disease</t>
  </si>
  <si>
    <t>Percentage of the population with depression</t>
  </si>
  <si>
    <t>Percentage of the population with raised blood pressure</t>
  </si>
  <si>
    <t>Percentage of the population (excluding pregnant women) in each BMI category</t>
  </si>
  <si>
    <t>Percentage of the population (excluding pregnant women) classified as overweight (BMI≥25)</t>
  </si>
  <si>
    <t>Percentage of the population with raised total cholesterol</t>
  </si>
  <si>
    <t>Percentage of the population by level of 10-year CVD risk</t>
  </si>
  <si>
    <t>Percentage of the population aged 40-69 years with a 10-year cardiovascular disease (CVD) risk* ≥20% or with existing CVD</t>
  </si>
  <si>
    <t>Percentage of the population with a 10-year CVD risk ≥20% or with existing CVD</t>
  </si>
  <si>
    <t>Percentage of the population with 0, 1-2, or 3-5 of the following risk factors</t>
  </si>
  <si>
    <t>agevar</t>
  </si>
  <si>
    <t>agerange</t>
  </si>
  <si>
    <t>agerange1</t>
  </si>
  <si>
    <t>agerange2</t>
  </si>
  <si>
    <t>agerange3</t>
  </si>
  <si>
    <t>crd1x:CRD Diagnosis</t>
  </si>
  <si>
    <t>Percentage of the population with a previous diagnosis of asthma/COPD</t>
  </si>
  <si>
    <t>!is.na(crd1) | !is.na(crd3)</t>
  </si>
  <si>
    <t>crd1;crd3</t>
  </si>
  <si>
    <t>Chronic respiratory diagnosis</t>
  </si>
  <si>
    <t>crd2x:CRD Treatment</t>
  </si>
  <si>
    <t>Percentage of those diagnosed with CRD receiving current treatment for asthma/COPD prescribed by a doctor or other health worker</t>
  </si>
  <si>
    <t>crd2;crd4</t>
  </si>
  <si>
    <t xml:space="preserve">Currently taking medication for Asthma/COPD </t>
  </si>
  <si>
    <t>crd6x:CRD Symptoms</t>
  </si>
  <si>
    <t>Percentage of the population with chronic respiratory symptoms</t>
  </si>
  <si>
    <t>!is.na(crd6); !is.na(crd10); !is.na(crd12)</t>
  </si>
  <si>
    <t>crd6;crd10;crd12</t>
  </si>
  <si>
    <t>Chronic respiratory symptoms</t>
  </si>
  <si>
    <t xml:space="preserve">wheezing/whistling in the chest;cough;shortness of breath </t>
  </si>
  <si>
    <t>crd6xa:CRD Symptoms with no Asthma/COPD diagnosis</t>
  </si>
  <si>
    <t>crd1;crd3;crd6;crd10;crd12</t>
  </si>
  <si>
    <t>Chronic respiratory symptoms among undiagnosed with Asthma/COPD</t>
  </si>
  <si>
    <t>crd6xb:CRD Symptoms with Asthma/COPD diagnosis</t>
  </si>
  <si>
    <t>Chronic respiratory symptoms among diagnosed Asthma/COPD</t>
  </si>
  <si>
    <t>crd7xa:Symptoms of severe asthma</t>
  </si>
  <si>
    <t>crd7;crd8;crd9</t>
  </si>
  <si>
    <t>Severe asthma symptoms among those with no diagnosis</t>
  </si>
  <si>
    <t>crd7xb:Symptoms of severe asthma</t>
  </si>
  <si>
    <t>crd1;crd3;crd7;crd8;crd9</t>
  </si>
  <si>
    <t>Severe asthma symptoms among those with diagnosis</t>
  </si>
  <si>
    <t>crd13x:CRD Symptoms impacting daily activities</t>
  </si>
  <si>
    <t xml:space="preserve">Percentage of the population with chronic respiratory symptoms impacting significantly on daily activities in past 12 months  </t>
  </si>
  <si>
    <t>crd6;crd10;crd12;crd13</t>
  </si>
  <si>
    <t>crd14x:Hospitalization due to CRD Symptoms</t>
  </si>
  <si>
    <t>Percentage of the population with hospital admission due to chronic respiratory symptoms in past 12 months</t>
  </si>
  <si>
    <t>crd6;crd10;crd12;crd14</t>
  </si>
  <si>
    <t>data = data %&gt;% rowwise %&gt;% mutate(
tob_initiation_age = t3,
tob_initiation_age = ifelse (is.na(t3) &amp; !is.na(t4) &amp; t4type=="years",age - t4, tob_initiation_age),
tob_initiation_age = ifelse (is.na(t3) &amp; !is.na(t4) &amp; t4type=="months",age - t4/12, tob_initiation_age),
tob_initiation_age = ifelse (is.na(t3) &amp; !is.na(t4) &amp; t4type=="weeks",age - t4/52, tob_initiation_age),
tob_duration = age - tob_initiation_age)</t>
  </si>
  <si>
    <t>data = data %&gt;% rowwise %&gt;% mutate(
cessation_yrs = age - t10,
cessation_yrs = ifelse (is.na(t10) &amp; !is.na(t11) &amp; t11type=="years",age - t11, cessation_yrs),
cessation_yrs = ifelse (is.na(t10) &amp; !is.na(t11) &amp; t11type=="months",age - t11/12, cessation_yrs),
cessation_yrs = ifelse (is.na(t10) &amp; !is.na(t11) &amp; t11type=="weeks",age - t11/52, cessation_yrs))</t>
  </si>
  <si>
    <t>age;t10;t11;t11type</t>
  </si>
  <si>
    <t>age;t3;t4;t4type</t>
  </si>
  <si>
    <t>Oral Health</t>
  </si>
  <si>
    <t>o2</t>
  </si>
  <si>
    <t>o4</t>
  </si>
  <si>
    <t>o13type</t>
  </si>
  <si>
    <t>o2x1;o2x2;o2x3;o2x4;o2x5;o2x6;o2x7</t>
  </si>
  <si>
    <t>data &lt;- data %&gt;%
  mutate(
    o2x1 = ifelse(grepl("\\b1\\b", o2), 1, NA),
    o2x2 = ifelse(grepl("\\b2\\b", o2), 1, NA),
    o2x3 = ifelse(grepl("\\b3\\b", o2), 1, NA),
    o2x4 = ifelse(grepl("\\b4\\b", o2), 1, NA),
    o2x5 = ifelse(grepl("\\b5\\b", o2), 1, NA),
    o2x6 = ifelse(grepl("\\b6\\b", o2), 1, NA),
    o2x7 = ifelse(grepl("\\b7\\b", o2), 1, NA)
  )</t>
  </si>
  <si>
    <t>o4x1;o4x2;o4x3;o4x4;o4x5;o4x6;o4x7;o4x8</t>
  </si>
  <si>
    <t>data &lt;- data %&gt;%
  mutate(
    o4x1 = ifelse(grepl("\\b1\\b", o4), 1, NA),
    o4x2 = ifelse(grepl("\\b2\\b", o4), 1, NA),
    o4x3 = ifelse(grepl("\\b3\\b", o4), 1, NA),
    o4x4 = ifelse(grepl("\\b4\\b", o4), 1, NA),
    o4x5 = ifelse(grepl("\\b5\\b", o4), 1, NA),
    o4x6 = ifelse(grepl("\\b6\\b", o4), 1, NA),
    o4x7 = ifelse(grepl("\\b7\\b", o4), 1, NA),
    o4x8 = ifelse(grepl("\\b8\\b", o4), 1, NA)
  )</t>
  </si>
  <si>
    <t>o13typex1;o13typex2;o13typex3;o13typex4;o13typex5;o13typex6;o13typex7;o13typex8;o13typex9;o13typex10</t>
  </si>
  <si>
    <t>data &lt;- data %&gt;%
  mutate(
    o13type1 = ifelse(grepl("\\b1\\b", o13type), 1, NA),
    o13type2 = ifelse(grepl("\\b2\\b", o13type), 1, NA),
    o13type3 = ifelse(grepl("\\b3\\b", o13type), 1, NA),
    o13type4 = ifelse(grepl("\\b4\\b", o13type), 1, NA),
    o13type5 = ifelse(grepl("\\b5\\b", o13type), 1, NA),
    o13type6 = ifelse(grepl("\\b6\\b", o13type), 1, NA),
    o13type7 = ifelse(grepl("\\b7\\b", o13type), 1, NA),
    o13type8 = ifelse(grepl("\\b8\\b", o13type), 1, NA),
    o13type9 = ifelse(grepl("\\b9\\b", o13type), 1, NA),
    o13type10 = ifelse(grepl("\\b10\\b", o13type), 1, NA)
  )</t>
  </si>
  <si>
    <t>hba1cmean:Mean HBA1C</t>
  </si>
  <si>
    <t>mean HBA1C</t>
  </si>
  <si>
    <t>Blood HBA1C measurement</t>
  </si>
  <si>
    <t>hba1c</t>
  </si>
  <si>
    <t>hba1c &gt;= 4 &amp; hba1c &lt;= 16</t>
  </si>
  <si>
    <t>Hemoglobin A1c (HbA1c) %</t>
  </si>
  <si>
    <t>hba1ccateg:HBA1C categories</t>
  </si>
  <si>
    <t>Percentage of population by HBA1C level category</t>
  </si>
  <si>
    <t>Blood HBA1C results by category</t>
  </si>
  <si>
    <t>hba1c &gt;= 4 &amp; hba1c &lt;= 16;hba1c &gt;= 4 &amp; hba1c &lt;= 16;hba1c &gt;= 4 &amp; hba1c &lt;= 16</t>
  </si>
  <si>
    <t>HBA1c categories</t>
  </si>
  <si>
    <t>bm17a:HDL</t>
  </si>
  <si>
    <t>B17: HDL cholesterol measurement</t>
  </si>
  <si>
    <t>B17</t>
  </si>
  <si>
    <t>!is.na(b17)</t>
  </si>
  <si>
    <t>Mean HDL (mmol/L)</t>
  </si>
  <si>
    <t>bm17b:HDL</t>
  </si>
  <si>
    <t>B17mg</t>
  </si>
  <si>
    <t>!is.na(b17mg)</t>
  </si>
  <si>
    <t>Mean HDL (mg/dl)</t>
  </si>
  <si>
    <t>bm17c:HDL</t>
  </si>
  <si>
    <t>B17&lt;1.03</t>
  </si>
  <si>
    <t>b17;c1</t>
  </si>
  <si>
    <t>Percentage of respondents with HDL &lt;1.03mmol/L or &lt;40 mg/dl</t>
  </si>
  <si>
    <t>collevel1_full</t>
  </si>
  <si>
    <t>bm17d:HDL</t>
  </si>
  <si>
    <t>B17&lt;1.29</t>
  </si>
  <si>
    <t>Percentage of respondents with HDL &lt;1.29mmol/L or &lt;50 mg/dl</t>
  </si>
  <si>
    <t>bm18a:LDL</t>
  </si>
  <si>
    <t>B18: LDL cholesterol measurement</t>
  </si>
  <si>
    <t>B18</t>
  </si>
  <si>
    <t>!is.na(b18)</t>
  </si>
  <si>
    <t>Mean LDL (mmol/L)</t>
  </si>
  <si>
    <t>bm18b:LDL</t>
  </si>
  <si>
    <t>B18mg</t>
  </si>
  <si>
    <t>!is.na(b18mg)</t>
  </si>
  <si>
    <t>Mean LDL (mg/dl)</t>
  </si>
  <si>
    <t>bm18c:LDL</t>
  </si>
  <si>
    <t>B18&gt;=3.4</t>
  </si>
  <si>
    <t>Percentage of respondents with LDL ≥ 3.4mmol/L or ≥ 130mg/dl</t>
  </si>
  <si>
    <t>bm18d:LDL</t>
  </si>
  <si>
    <t>B18&gt;=4.1</t>
  </si>
  <si>
    <t>Percentage of respondents with LDL ≥ 4.1mmol/L or ≥ 160mg/dl</t>
  </si>
  <si>
    <t>bm16a:Triglycerides</t>
  </si>
  <si>
    <t>Mean fasting triglycerides and percentage of population with raised fasting triglycerides (non-fasting recipients excluded)</t>
  </si>
  <si>
    <t>B16: Triglyceride measurement</t>
  </si>
  <si>
    <t>B16</t>
  </si>
  <si>
    <t>Mean fasting triglycerides (mmol/L)</t>
  </si>
  <si>
    <t>bm16b:Triglycerides</t>
  </si>
  <si>
    <t>B16mg</t>
  </si>
  <si>
    <t>Mean fasting triglycerides (mg/dl)</t>
  </si>
  <si>
    <t>bm16c:Triglycerides</t>
  </si>
  <si>
    <t>B16&gt;=1.7</t>
  </si>
  <si>
    <t>Fasting triglycerides ≥ 1.7mmol/L or ≥ 150mg/dl</t>
  </si>
  <si>
    <t>bm16d:Triglycerides</t>
  </si>
  <si>
    <t>B16&gt;=2.0</t>
  </si>
  <si>
    <t>Fasting triglycerides ≥ 2.0mmol/L or ≥ 180mg/dl</t>
  </si>
  <si>
    <t>4. Percentage who are currently on treatment for raised blood glucose among those with diabetes</t>
  </si>
  <si>
    <t>b1;b5;h6;h8;h9</t>
  </si>
  <si>
    <t>5. Percentage with controlled blood glucose level among those with diabetes</t>
  </si>
  <si>
    <t>bm1i:Total cholesterol</t>
  </si>
  <si>
    <t>bm1k:Raised total cholesterol</t>
  </si>
  <si>
    <t>bm1m:Raised total cholesterol or on medication</t>
  </si>
  <si>
    <t>bm1salt:Intake of salt per day</t>
  </si>
  <si>
    <t>4.Mean intake of salt per day (in grams)</t>
  </si>
  <si>
    <t>Mean fasting blood glucose results including those currently on medication for diabetes (non-fasting recipients excluded)</t>
  </si>
  <si>
    <t>alc1i:Average drinking levels among current (past 30 days) drinkers</t>
  </si>
  <si>
    <t>alc1j:Average drinking levels among current (past 30 days) drinkers</t>
  </si>
  <si>
    <t>alc1k:Average drinking levels among current (past 30 days) drinkers</t>
  </si>
  <si>
    <t>no fruit or vegetables;1-2 servings;3-4 servings;≥5 servings</t>
  </si>
  <si>
    <t>Diabetes diagnosis, treatment and control among those with raised blood glucose or on medication</t>
  </si>
  <si>
    <t>Total cholesterol ≥ 5.0 mmol/L or ≥ 190 mg/dl or currently on medication</t>
  </si>
  <si>
    <t>Total cholesterol ≥ 6.2 mmol/L or ≥ 240 mg/dl or currently on medication</t>
  </si>
  <si>
    <t>mh2medsb:Depression medication</t>
  </si>
  <si>
    <t>mh4medsb:Depression therapy</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</si>
  <si>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
B1: During the last 12 hours have you had anything to eat or drink, other than water?
B5: Blood glucose measurement
Reading 1-3 systolic blood pressure</t>
  </si>
  <si>
    <t>sbp&lt;140</t>
  </si>
  <si>
    <t>b1;b5;h6;h8;h9;m4a;m5a;m6a;m4b;m5b;m6b</t>
  </si>
  <si>
    <t>Blood pressure control among people with diabetes</t>
  </si>
  <si>
    <t>Percentage of people with diabetes with good control of blood pressure (SBP &lt; 140 mmHg)</t>
  </si>
  <si>
    <t>nagr_kaw; na_cln_kaw</t>
  </si>
  <si>
    <t>nagr_tan;na_cln_tan</t>
  </si>
  <si>
    <t>nagr_mag;na_cln_mag</t>
  </si>
  <si>
    <t>nagr_tof;na_cln_tof</t>
  </si>
  <si>
    <t>Mean salt intake (g/day) - INTERSALT</t>
  </si>
  <si>
    <t>bm1saltb:Intake of salt per day</t>
  </si>
  <si>
    <t>nagr_kaw</t>
  </si>
  <si>
    <t>Mean salt intake (g/day) - Kawasaki</t>
  </si>
  <si>
    <t>bm1saltc:Intake of salt per day</t>
  </si>
  <si>
    <t>nagr_tan</t>
  </si>
  <si>
    <t>Mean salt intake (g/day) - Tanaka</t>
  </si>
  <si>
    <t>bm1saltd:Intake of salt per day</t>
  </si>
  <si>
    <t>nagr_mag</t>
  </si>
  <si>
    <t>Mean salt intake (g/day) - Mage</t>
  </si>
  <si>
    <t>bm1salte:Intake of salt per day</t>
  </si>
  <si>
    <t>nagr_tof</t>
  </si>
  <si>
    <t>Mean salt intake (g/day) - Toft</t>
  </si>
  <si>
    <t xml:space="preserve">Percentage of the population who report that salt or salty sauce is added to their food when cooking or preparing foods in their household </t>
  </si>
  <si>
    <t>alc1f:Average drinking levels among total population</t>
  </si>
  <si>
    <t>alc1g:Average drinking levels among total population</t>
  </si>
  <si>
    <t>alc1h:Average drinking levels among total population</t>
  </si>
  <si>
    <t>Mean number of times six or more drinks consumed during a single occasion in the past 30 days among current drinkers</t>
  </si>
  <si>
    <t>mean number of days</t>
  </si>
  <si>
    <t>mean number of servings;mean number of servings;mean number of servings</t>
  </si>
  <si>
    <t>data =data %&gt;% rowwise %&gt;% mutate(d2 = ifelse(d1==0 &amp; is.na(d2),0,d2),
         d4 = ifelse(d3==0 &amp; is.na(d4),0,d4),
         d2 = ifelse(d1&gt;=1 &amp; d1&lt;=7 &amp; d2&gt;20, NA, d2),
         d4 = ifelse(d3&gt;=1 &amp; d3&lt;=7 &amp; d4&gt;20, NA, d4),         
         avg_fruits =d2*d1/7, avg_veg =(d4*d3)/7, either_veg_fruit = sum(c(avg_fruits,avg_veg),na.rm = T), 
         either_veg_fruit = ifelse(either_veg_fruit==0 &amp;(is.na(avg_fruits)&amp; is.na(avg_veg)),NA,either_veg_fruit),
         freq_veg_fruit = case_when(either_veg_fruit&lt;1 ~ 1, 
                                    either_veg_fruit &gt;= 1 &amp; either_veg_fruit&lt; 3 ~2,
                                    either_veg_fruit &gt;= 3 &amp; either_veg_fruit&lt; 5 ~3,
                                    either_veg_fruit&gt;=5 ~ 4))</t>
  </si>
  <si>
    <t>mean grams</t>
  </si>
  <si>
    <t>mean number of drinks</t>
  </si>
  <si>
    <t>mean minutes</t>
  </si>
  <si>
    <t>mean number of occasions</t>
  </si>
  <si>
    <t>mean maximum  number</t>
  </si>
  <si>
    <t>mean number of times</t>
  </si>
  <si>
    <t>daily users</t>
  </si>
  <si>
    <t>current users</t>
  </si>
  <si>
    <t>former daily users</t>
  </si>
  <si>
    <t>current users;non-users</t>
  </si>
  <si>
    <t>advised to stop smoking</t>
  </si>
  <si>
    <t>tried to stop smoking</t>
  </si>
  <si>
    <t>mean years</t>
  </si>
  <si>
    <t>former daily smokers</t>
  </si>
  <si>
    <t>median minutes</t>
  </si>
  <si>
    <t>data = data %&gt;% rowwise %&gt;%
  mutate(
    work_vig_hours = p3a,
    p3a = ifelse(!is.na(work_vig_hours) &amp; work_vig_hours == 15, 0, p3a), p3b = ifelse(!is.na(work_vig_hours) &amp; work_vig_hours == 15, 15, p3b),
    p3a = ifelse(!is.na(work_vig_hours) &amp; work_vig_hours == 30, 0, p3a), p3b = ifelse(!is.na(work_vig_hours) &amp; work_vig_hours == 30, 30, p3b),
    p3a = ifelse(!is.na(work_vig_hours) &amp; work_vig_hours == 45, 0, p3a), p3b = ifelse(!is.na(work_vig_hours) &amp; work_vig_hours == 45, 45, p3b),
    p3a = ifelse(!is.na(work_vig_hours) &amp; work_vig_hours == 60, 1, p3a), p3b = ifelse(!is.na(work_vig_hours) &amp; work_vig_hours == 60, 0, p3b),
    work_vig_hours = ifelse((p3a==7 &amp; p3b==77) | (p3a==8 &amp; p3b==88) | (p3a==9 &amp; p3b==99),789, work_vig_hours),
    p3a = ifelse((!is.na(work_vig_hours) &amp; work_vig_hours==789) | (p3a==77 | p3a==88 | p3a==99),0, p3a),
    p3b = ifelse((!is.na(work_vig_hours) &amp; work_vig_hours==789)|(p3b==77 | p3b==88 | p3b==99),0, p3b),
    p3amin=(p3a*60), p3amin=ifelse(is.na(p3a),0,p3amin), p3bmin = p3b, p3bmin = ifelse(is.na(p3b),0,p3bmin),
    p3 = p3amin + p3bmin,
    p2 = ifelse(is.na(p2)|p2==99,0, p2),
    P2CLN = ifelse((p1==1 &amp; p2&gt;0 &amp; p2&lt;8) | (p1==2 &amp; p2==0),1,2),
    P3CLN = ifelse((P2CLN==1 &amp; p2&gt;0 &amp; p2&lt;8 &amp; p3&gt;0 &amp; p3&lt;961) | (P2CLN==1 &amp; p2==0 &amp; p3==0),1,2),
    P1t3CLN = ifelse((P3CLN==1 &amp; valid==1)|(is.na(p1) &amp; p2==0 &amp; p3==0 &amp; valid==1),1,2),
    work_mod_hours = p6a,
    p6a = ifelse(!is.na(work_mod_hours) &amp; work_mod_hours == 15, 0, p6a), p6b = ifelse(!is.na(work_mod_hours) &amp; work_mod_hours == 15, 15, p6b),
    p6a = ifelse(!is.na(work_mod_hours) &amp; work_mod_hours == 30, 0, p6a), p6b = ifelse(!is.na(work_mod_hours) &amp; work_mod_hours == 30, 30, p6b),
    p6a = ifelse(!is.na(work_mod_hours) &amp; work_mod_hours == 45, 0, p6a), p6b = ifelse(!is.na(work_mod_hours) &amp; work_mod_hours == 45, 45, p6b),
    p6a = ifelse(!is.na(work_mod_hours) &amp; work_mod_hours == 60, 1, p6a), p6b = ifelse(!is.na(work_mod_hours) &amp; work_mod_hours == 60, 0, p6b),
    work_mod_hours = ifelse((p6a==7 &amp; p6b==77) | (p6a==8 &amp; p6b==88) | (p6a==9 &amp; p6b==99),789, work_mod_hours),
    p6a = ifelse((!is.na(work_mod_hours) &amp; work_mod_hours==789) | (p6a==77 | p6a==88 | p6a==99),0, p6a),
    p6b = ifelse((!is.na(work_mod_hours) &amp; work_mod_hours==789)|(p6b==77 | p6b==88 | p6b==99),0, p6b),
    p6amin=(p6a*60), p6amin=ifelse(is.na(p6a),0,p6amin), p6bmin = p6b, p6bmin = ifelse(is.na(p6b),0,p6bmin),
    p6 = p6amin + p6bmin,
    p5 = ifelse(is.na(p5)|p5==99,0, p5),
    P5CLN = ifelse((p4==1 &amp; p5&gt;0 &amp; p5&lt;8) | (p4==2 &amp; p5==0),1,2),
    P6CLN = ifelse((P5CLN==1 &amp; p5&gt;0 &amp; p5&lt;8 &amp; p6&gt;0 &amp; p6&lt;961) | (P5CLN==1 &amp; p5==0 &amp; p6==0),1,2),
    P4t6CLN = ifelse((P6CLN==1 &amp; valid==1)|(is.na(p4) &amp; p5==0 &amp; p6==0 &amp; valid==1),1,2),
    transport_hours = p9a,
    p9a = ifelse(!is.na(transport_hours) &amp; transport_hours == 15, 0, p9a), p9b = ifelse(!is.na(transport_hours) &amp; transport_hours == 15, 15, p9b),
    p9a = ifelse(!is.na(transport_hours) &amp; transport_hours == 30, 0, p9a), p9b = ifelse(!is.na(transport_hours) &amp; transport_hours == 30, 30, p9b),
    p9a = ifelse(!is.na(transport_hours) &amp; transport_hours == 45, 0, p9a), p9b = ifelse(!is.na(transport_hours) &amp; transport_hours == 45, 45, p9b),
    p9a = ifelse(!is.na(transport_hours) &amp; transport_hours == 60, 1, p9a), p9b = ifelse(!is.na(transport_hours) &amp; transport_hours == 60, 0, p9b),
    transport_hours = ifelse((p9a==7 &amp; p9b==77) | (p9a==8 &amp; p9b==88) | (p9a==9 &amp; p9b==99),789, transport_hours),
    p9a = ifelse((!is.na(transport_hours) &amp; transport_hours==789) | (p9a==77 | p9a==88 | p9a==99),0, p9a),
    p9b = ifelse((!is.na(transport_hours) &amp; transport_hours==789)|(p9b==77 | p9b==88 | p9b==99),0, p9b),
    p9amin=(p9a*60), p9amin=ifelse(is.na(p9a),0,p9amin), p9bmin = p9b, p9bmin = ifelse(is.na(p9b),0,p9bmin),
    p9 = p9amin + p9bmin,
    p8 = ifelse(is.na(p8)|p8==99,0, p8),
    P8CLN = ifelse((p7==1 &amp; p8&gt;0 &amp; p8&lt;8) | (p7==2 &amp; p8==0),1,2),
    P9CLN = ifelse((P8CLN==1 &amp; p8&gt;0 &amp; p8&lt;8 &amp; p9&gt;0 &amp; p9&lt;961) | (P8CLN==1 &amp; p8==0 &amp; p9==0),1,2),
    P7t9CLN = ifelse((P9CLN==1 &amp; valid==1)|(is.na(p7) &amp; p8==0 &amp; p9==0 &amp; valid==1),1,2),
    leis_vig_hours = p12a,
    p12a = ifelse(!is.na(leis_vig_hours) &amp; leis_vig_hours == 15, 0, p12a), p12b = ifelse(!is.na(leis_vig_hours) &amp; leis_vig_hours == 15, 15, p12b),
    p12a = ifelse(!is.na(leis_vig_hours) &amp; leis_vig_hours == 30, 0, p12a), p12b = ifelse(!is.na(leis_vig_hours) &amp; leis_vig_hours == 30, 30, p12b),
    p12a = ifelse(!is.na(leis_vig_hours) &amp; leis_vig_hours == 45, 0, p12a), p12b = ifelse(!is.na(leis_vig_hours) &amp; leis_vig_hours == 45, 45, p12b),
    p12a = ifelse(!is.na(leis_vig_hours) &amp; leis_vig_hours == 60, 1, p12a), p12b = ifelse(!is.na(leis_vig_hours) &amp; leis_vig_hours == 60, 0, p12b),
    leis_vig_hours = ifelse((p12a==7 &amp; p12b==77) | (p12a==8 &amp; p12b==88) | (p12a==9 &amp; p12b==99),789, leis_vig_hours),
    p12a = ifelse((!is.na(leis_vig_hours) &amp; leis_vig_hours==789) | (p12a==77 | p12a==88 | p12a==99),0, p12a),
    p12b = ifelse((!is.na(leis_vig_hours) &amp; leis_vig_hours==789)|(p12b==77 | p12b==88 | p12b==99),0, p12b),
    p12amin=(p12a*60), p12amin=ifelse(is.na(p12a),0,p12amin), p12bmin = p12b, p12bmin = ifelse(is.na(p12b),0,p12bmin), p12 = p12amin + p12bmin,
    p11 = ifelse(is.na(p11)|p11==99,0, p11),
    P11CLN = ifelse((p10==1 &amp; p11&gt;0 &amp; p11&lt;8) | (p10==2 &amp; p11==0),1,2),
    P12CLN = ifelse((P11CLN==1 &amp; p11&gt;0 &amp; p11&lt;8 &amp; p12&gt;0 &amp; p12&lt;961) | (P11CLN==1 &amp; p11==0 &amp; p12==0),1,2),
    P10t12CLN = ifelse((P12CLN==1 &amp; valid==1)|(is.na(p10) &amp; p11==0 &amp; p12==0 &amp; valid==1),1,2),
    leis_mod_hours = p15a,
    p15a = ifelse(!is.na(leis_mod_hours) &amp; leis_mod_hours == 15, 0, p15a), p15b = ifelse(!is.na(leis_mod_hours) &amp; leis_mod_hours == 15, 15, p15b),
    p15a = ifelse(!is.na(leis_mod_hours) &amp; leis_mod_hours == 30, 0, p15a), p15b = ifelse(!is.na(leis_mod_hours) &amp; leis_mod_hours == 30, 30, p15b),
    p15a = ifelse(!is.na(leis_mod_hours) &amp; leis_mod_hours == 45, 0, p15a), p15b = ifelse(!is.na(leis_mod_hours) &amp; leis_mod_hours == 45, 45, p15b),
    p15a = ifelse(!is.na(leis_mod_hours) &amp; leis_mod_hours == 60, 1, p15a), p15b = ifelse(!is.na(leis_mod_hours) &amp; leis_mod_hours == 60, 0, p15b),
    leis_mod_hours = ifelse((p15a==7 &amp; p15b==77) | (p15a==8 &amp; p15b==88) | (p15a==9 &amp; p15b==99),789, leis_mod_hours),
    p15a = ifelse((!is.na(leis_mod_hours) &amp; leis_mod_hours==789) | (p15a==77 | p15a==88 | p15a==99),0, p15a),
    p15b = ifelse((!is.na(leis_mod_hours) &amp; leis_mod_hours==789) |(p15b==77 | p15b==88 | p15b==99),0, p15b),
    p15amin=(p15a*60), p15amin=ifelse(is.na(p15a),0,p15amin), p15bmin = p15b, p15bmin = ifelse(is.na(p15b),0,p15bmin),
    p15 = p15amin + p15bmin,
    p14 = ifelse(is.na(p14)|p14==99,0, p14),
    P14CLN = ifelse((p13==1 &amp; p14&gt;0 &amp; p14&lt;8) | (p13==2 &amp; p14==0),1,2),
    P15CLN = ifelse((P14CLN==1 &amp; p14&gt;0 &amp; p14&lt;8 &amp; p15&gt;0 &amp; p15&lt;961) | (P14CLN==1 &amp; p14==0 &amp; p15==0),1,2),
   P13t15CLN = ifelse((P15CLN==1 &amp; valid==1)|(is.na(p13) &amp; p14==0 &amp; p15==0 &amp; valid==1),1,2),
    p16a = ifelse(p16a == 15 &amp; (is.na(p16b) | p16b == 0 | p16b == 15 | p16b == 77 | p16b == 88 | p16b == 99), 0, p16a),
    p16b = ifelse(p16a == 15 &amp; (is.na(p16b) | p16b == 0 | p16b == 15 | p16b == 77 | p16b == 88 | p16b == 99), 15, p16b),
    p16a = ifelse(p16a == 30 &amp; (is.na(p16b) | p16b == 0 | p16b == 30 | p16b == 77 | p16b == 88 | p16b == 99), 0, p16a),
    p16b = ifelse(p16a == 30 &amp; (is.na(p16b) | p16b == 0 | p16b == 30 | p16b == 77 | p16b == 88 | p16b == 99), 30, p16b),
    p16a = ifelse(p16a == 45 &amp; (is.na(p16b) | p16b == 0 | p16b == 45 | p16b == 77 | p16b == 88 | p16b == 99), 0, p16a),
    p16b = ifelse(p16a == 45 &amp; (is.na(p16b) | p16b == 0 | p16b == 45 | p16b == 77 | p16b == 88 | p16b == 99), 45, p16b),
    p16a = ifelse(p16a == 60 &amp; (is.na(p16b) | p16b == 0 | p16b == 60 | p16b == 77 | p16b == 88 | p16b == 99), 1, p16a),
    p16b = ifelse(p16a == 60 &amp; (is.na(p16b) | p16b == 0 | p16b == 60 | p16b == 77 | p16b == 88 | p16b == 99), 0, p16b),
    p16a = ifelse((p16a == 7 &amp; p16b == 77) | (p16a == 8 &amp; p16b == 88) | (p16a == 9 &amp; p16b == 99), 0, p16a),
    p16b = ifelse((p16a == 7 &amp; p16b == 77) | (p16a == 8 &amp; p16b == 88) | (p16a == 9 &amp; p16b == 99), 0, p16b),
    p16b = ifelse(p16b == 77 | p16b == 88 | p16b == 99, 0, p16b),
    p16a = ifelse(p16a == 77 | p16a == 88 | p16a == 99, 0, p16a),
    p16amin = ifelse(p16a &gt;= 0 &amp; p16a &lt;= 24, p16a * 60, NA),
    p16bmin = ifelse(p16b &gt;= 0 &amp; p16b &lt;= 60, p16b, NA),
    p16 = ifelse(!is.na(p16amin) &amp; !is.na(p16bmin), p16amin + p16bmin, NA),
    p16cln = ifelse(p16 &gt;= 0 &amp; p16 &lt; 1441 &amp; valid == 1, 1, 2),
    P1t3=(p2*p3*8), P1t3 = ifelse(P1t3CLN!=1, 0,P1t3), 
    P4t6=(p5*p6*4), P4t6 = ifelse(P4t6CLN!=1, 0,P4t6),
    P7t9=(p8*p9*4), P7t9 = ifelse(P7t9CLN!=1, 0,P7t9),
    P10t12=(p11*p12*8), P10t12 = ifelse(P10t12CLN!=1, 0,P10t12),
    P13t15=(p14*p15*4), P13t15 = ifelse(P13t15CLN!=1, 0,P13t15),
    ptotal= P1t3+P4t6+P7t9+P10t12+P13t15,
    ptotal = ifelse(is.na(P1t3) &amp; is.na(P4t6) &amp; is.na(P7t9) &amp; is.na(P10t12) &amp; is.na(P13t15),NA,ptotal),
    pnotmeetwho = ifelse(ptotal&lt;600, 1,2),
    p2 = ifelse(p2==77,0,p2),p5 = ifelse(p5==77,0,p5),p8 = ifelse(p8==77,0,p8),
    p11 = ifelse(p11==77,0,p11),p14 = ifelse(p14==77,0,p14),
    p_levels = case_when(((p2+p5+p8+p11+p14)&gt;6 &amp; ptotal&gt;=3000)|((p2+p11)&gt;=3 &amp; ptotal&gt;=1500) ~1,
                         (((p2+p5+p8+p11+p14)&gt;=5) &amp; ptotal&gt;=600)|(((p2+p11)==3 | (p2+p11)==4) &amp; p12&gt;=20 &amp; p3&gt;=20)|
                           (p2&gt;=3 &amp; p11&gt;=3 &amp; (p12&gt;=20 | p3&gt;=20))|
                           (((p2&gt;=3 &amp; p11&lt;3 &amp; p3&gt;=20) | (p11&gt;=3 &amp; p2&lt;3 &amp; p12&gt;=20))|
                              ((p5+p8+p14)&gt;=5 &amp; ((p5*p6)+(p8*p9)+(p14*p15))&gt;=150))~ 2),
    rev_P1t3=(p2*p3), rev_P1t3 = ifelse(P1t3CLN!=1, NA,rev_P1t3), 
    rev_P4t6=(p5*p6), rev_P4t6 = ifelse(P4t6CLN!=1, NA,rev_P4t6),
    rev_P7t9=(p8*p9), rev_P7t9 = ifelse(P7t9CLN!=1, NA,rev_P7t9),
    rev_P10t12=(p11*p12), rev_P10t12 = ifelse(P10t12CLN!=1, NA,rev_P10t12),
    rev_P13t15=(p14*p15), rev_P13t15 = ifelse(P13t15CLN!=1, NA,rev_P13t15),
    rev_ptotal =(rev_P1t3+rev_P4t6+rev_P7t9+rev_P10t12+rev_P13t15)/7,
pa_valid = ifelse(valid==1 &amp; P1t3CLN==1 &amp; P4t6CLN==1 &amp; P7t9CLN==1 &amp; P10t12CLN==1 &amp; P13t15CLN==1 &amp; rev_ptotal&lt;=960,1,0),
    p_levels = ifelse(!is.na(ptotal) &amp; pa_valid==1 &amp; is.na(p_levels),3, p_levels),
pwkday=(rev_P1t3+rev_P4t6)/7,ptravelday=rev_P7t9/7,precday=(rev_P10t12+rev_P13t15)/7,
    comp_wkday= 100*((rev_P1t3+rev_P4t6)/(rev_ptotal*7)),comp_travelday=100*(rev_P7t9/(7*rev_ptotal)),comp_recday=100*((rev_P10t12+rev_P13t15)/(rev_ptotal*7)))</t>
  </si>
  <si>
    <t>Daily smokers among current smokers</t>
  </si>
  <si>
    <t>Percentage of daily smokers among current smokers</t>
  </si>
  <si>
    <t>A1;A2;A5;A9</t>
  </si>
  <si>
    <t>bm1g2:Diabetes care</t>
  </si>
  <si>
    <t>data = data%&gt;% rowwise %&gt;%mutate(na24hr = ifelse(c1 == 1,
                         23.51 + (0.45 * b14) - (3.09 * b15) + (4.16 * bmi) + (0.22 * age),
                         3.74 + (0.33 * b14) - (2.44 * b15) + (2.42 * bmi) + (2.34 * age) - (0.03 * age * age)),
         nagr=na24hr/17.1,
          na_cln = ifelse(bmicln==1 &amp; nagr&gt;=1 &amp; nagr&lt;=30 &amp; b10==2,1,2),
          na_cln = ifelse(b15&lt;1.8 | (b15&gt;28.3 &amp; c1==2) | (b15&gt;32.7 &amp; c1==1),2,na_cln))</t>
  </si>
  <si>
    <t>data = data%&gt;% rowwise %&gt;%mutate(na24hr_kaw= ifelse(c1 == 1,
                         16.3 * ((b14/(b15*1000/88.4 * 10)) * ((-12.63*age) + 15.12*m12 + 7.39*m11 - 79.9))^0.5,
                         16.3 * ((b14/(b15*1000/88.4 * 10)) * ((-4.72*age) + 8.58*m12 + 5.09*m11 - 74.5))^0.5),
         nagr_kaw=na24hr_kaw/17.1,
          na_cln_kaw = ifelse(bmicln==1 &amp; nagr_kaw&gt;=1 &amp; nagr_kaw&lt;=30 &amp; b10==2,1,2),
          na_cln_kaw  = ifelse(b15&lt;1.8 | (b15&gt;28.3 &amp; c1==2) | (b15&gt;32.7 &amp; c1==1),2,na_cln_kaw))</t>
  </si>
  <si>
    <t>data = data%&gt;% rowwise %&gt;%mutate(na24hr_tan = 
                         21.98 * ((b14/(b15*1000/88.4* 10)) * ((-2.04*age) + (14.89*m12 ) + (16.14*m11 ) - 2244.45))^0.392,
         nagr_tan=na24hr_tan/17.1,
          na_cln_tan = ifelse(bmicln==1 &amp; nagr_tan&gt;=1 &amp; nagr_tan&lt;=30 &amp; b10==2,1,2),
          na_cln_tan  = ifelse(b15&lt;1.8 | (b15&gt;28.3 &amp; c1==2) | (b15&gt;32.7 &amp; c1==1),2,na_cln_tan ))</t>
  </si>
  <si>
    <t>data = data%&gt;% rowwise %&gt;%mutate(na24hr_mag = ifelse(c1 == 1,
                         (b14/(b15 *1000/88.4 * 10)) * (0.00179*(140-age)*((m12)^1.5)*((m11)^0.5)),
                         (b14/(b15 *1000/88.4 * 10)) * (0.00163*(140-age)*((m12)^1.5)*((m11)^0.5))),
         nagr_mag=na24hr_mag/17.1,
          na_cln_mag = ifelse(bmicln==1 &amp; nagr_mag&gt;=1 &amp; nagr_mag&lt;=30 &amp; b10==2,1,2),
          na_cln_mag  = ifelse(b15&lt;1.8 | (b15&gt;28.3 &amp; c1==2) | (b15&gt;32.7 &amp; c1==1),2,na_cln_mag ))</t>
  </si>
  <si>
    <t>data = data%&gt;% rowwise %&gt;%mutate(na24hr_tof = ifelse(c1 == 1,
                         33.56 * ((b14/(b15 * 1000/88.4 * 10)) * ((-7.54*age) + 14.15*m12 + 3.48*m11 + 423.15))^0.345,
                         52.65 * ((b14/(b15 * 1000/88.4 * 10)) * ((-6.13*age) + 9.97*m12 + 2.45*m11 + 342.73))^0.196),
         nagr_tof=na24hr_tof/17.1,
          na_cln_tof = ifelse(bmicln==1 &amp; nagr_tof&gt;=1 &amp; nagr_tof&lt;=30 &amp; b10==2,1,2),
          na_cln_tof  = ifelse(b15&lt;1.8 | (b15&gt;28.3 &amp; c1==2) | (b15&gt;32.7 &amp; c1==1),2,na_cln_tof ))</t>
  </si>
  <si>
    <t>bm1saltinf:Intake of salt per day (adjusted)</t>
  </si>
  <si>
    <t>bm1saltinfb:Intake of salt per day (adjusted)</t>
  </si>
  <si>
    <t>bm1saltinfc:Intake of salt per day (adjusted)</t>
  </si>
  <si>
    <t>bm1saltinfd:Intake of salt per day (adjusted)</t>
  </si>
  <si>
    <t>bm1saltinfe:Intake of salt per day (adjusted)</t>
  </si>
  <si>
    <t>nagr_adj</t>
  </si>
  <si>
    <t>nagr_kaw_adj</t>
  </si>
  <si>
    <t>nagr_tan_adj</t>
  </si>
  <si>
    <t>nagr_mag_adj</t>
  </si>
  <si>
    <t>nagr_tof_adj</t>
  </si>
  <si>
    <t>nagr_adj;na_cln_adj</t>
  </si>
  <si>
    <t>nagr_kaw_adj; na_cln_kaw_adj</t>
  </si>
  <si>
    <t>nagr_tan_adj;na_cln_tan_adj</t>
  </si>
  <si>
    <t>nagr_mag_adj;na_cln_mag_adj</t>
  </si>
  <si>
    <t>nagr_tof_adj;na_cln_tof_adj</t>
  </si>
  <si>
    <t>data = data%&gt;% rowwise %&gt;%mutate(na24hr = ifelse(c1 == 1,
                         23.51 + (0.45 * b14) - (3.09 * b15) + (4.16 * bmi) + (0.22 * age),
                         3.74 + (0.33 * b14) - (2.44 * b15) + (2.42 * bmi) + (2.34 * age) - (0.03 * age * age)),
         nagr_adj=((na24hr/17.1)*.10)+(na24hr/17.1),
          na_cln_adj = ifelse(bmicln==1 &amp; nagr_adj&gt;=1 &amp; nagr_adj&lt;=30 &amp; b10==2,1,2),
          na_cln_adj = ifelse(b15&lt;1.8 | (b15&gt;28.3 &amp; c1==2) | (b15&gt;32.7 &amp; c1==1),2,na_cln_adj))</t>
  </si>
  <si>
    <t>data = data%&gt;% rowwise %&gt;%mutate(na24hr_kaw= ifelse(c1 == 1,
                         16.3 * ((b14/(b15*1000/88.4 * 10)) * ((-12.63*age) + 15.12*m12 + 7.39*m11 - 79.9))^0.5,
                         16.3 * ((b14/(b15*1000/88.4 * 10)) * ((-4.72*age) + 8.58*m12 + 5.09*m11 - 74.5))^0.5),
         nagr_kaw_adj=((na24hr_kaw/17.1)*.10)+(na24hr_kaw/17.1),
          na_cln_kaw_adj = ifelse(bmicln==1 &amp; nagr_kaw_adj&gt;=1 &amp; nagr_kaw_adj&lt;=30 &amp; b10==2,1,2),
          na_cln_kaw_adj  = ifelse(b15&lt;1.8 | (b15&gt;28.3 &amp; c1==2) | (b15&gt;32.7 &amp; c1==1),2,na_cln_kaw_adj))</t>
  </si>
  <si>
    <t>data = data%&gt;% rowwise %&gt;%mutate(na24hr_tan = 
                         21.98 * ((b14/(b15*1000/88.4* 10)) * ((-2.04*age) + (14.89*m12 ) + (16.14*m11 ) - 2244.45))^0.392,
         nagr_tan_adj=((na24hr_tan/17.1)*.10)+(na24hr_tan/17.1),
          na_cln_tan_adj = ifelse(bmicln==1 &amp; nagr_tan_adj&gt;=1 &amp; nagr_tan_adj&lt;=30 &amp; b10==2,1,2),
          na_cln_tan_adj  = ifelse(b15&lt;1.8 | (b15&gt;28.3 &amp; c1==2) | (b15&gt;32.7 &amp; c1==1),2,na_cln_tan_adj ))</t>
  </si>
  <si>
    <t>data = data%&gt;% rowwise %&gt;%mutate(na24hr_mag = ifelse(c1 == 1,
                         (b14/(b15 *1000/88.4 * 10)) * (0.00179*(140-age)*((m12)^1.5)*((m11)^0.5)),
                         (b14/(b15 *1000/88.4 * 10)) * (0.00163*(140-age)*((m12)^1.5)*((m11)^0.5))),
         nagr_mag_adj=((na24hr_mag/17.1)*.10)+(na24hr_mag/17.1),
          na_cln_mag_adj = ifelse(bmicln==1 &amp; nagr_mag_adj&gt;=1 &amp; nagr_mag_adj&lt;=30 &amp; b10==2,1,2),
          na_cln_mag_adj = ifelse(b15&lt;1.8 | (b15&gt;28.3 &amp; c1==2) | (b15&gt;32.7 &amp; c1==1),2,na_cln_mag_adj ))</t>
  </si>
  <si>
    <t>data = data%&gt;% rowwise %&gt;%mutate(na24hr_tof = ifelse(c1 == 1,
                         33.56 * ((b14/(b15 * 1000/88.4 * 10)) * ((-7.54*age) + 14.15*m12 + 3.48*m11 + 423.15))^0.345,
                         52.65 * ((b14/(b15 * 1000/88.4 * 10)) * ((-6.13*age) + 9.97*m12 + 2.45*m11 + 342.73))^0.196),
         nagr_tof_adj=((na24hr_tof/17.1)*.10)+(na24hr_tof/17.1),
          na_cln_tof_adj= ifelse(bmicln==1 &amp; nagr_tof_adj&gt;=1 &amp; nagr_tof_adj&lt;=30 &amp; b10==2,1,2),
          na_cln_tof_adj  = ifelse(b15&lt;1.8 | (b15&gt;28.3 &amp; c1==2) | (b15&gt;32.7 &amp; c1==1),2,na_cln_tof_adj ))</t>
  </si>
  <si>
    <t>Demographics</t>
  </si>
  <si>
    <t>bm1l:Raised total cholesterol or on medication</t>
  </si>
  <si>
    <t>tob1z:Tobacco use status</t>
  </si>
  <si>
    <t>Proportion of respondents in unpaid work or unemployed</t>
  </si>
  <si>
    <t>Unpaid work and unemployed (among those in unpaid work or unemployed)</t>
  </si>
  <si>
    <t>Current smokers among total population</t>
  </si>
  <si>
    <t>Smoking status among total population</t>
  </si>
  <si>
    <t>freq_T5a;freq_T5b;freq_T5c;freq_T5d;freq_T5e;freq_T5other</t>
  </si>
  <si>
    <t>T1;T2;t5a;t5aw;t5b;t5bw;t5c;t5cw;t5d;t5dw;t5e;t5ew;t5f;t5fw</t>
  </si>
  <si>
    <t>Percentage of former daily smokers among total population and among ever daily smokers, and the mean duration, in years, since former smokers quit smoking</t>
  </si>
  <si>
    <t>Former daily smokers among ever daily smokers</t>
  </si>
  <si>
    <t>Percentage of former daily smokers among total population and among ever daily smokers, and the mean duration, in years, since former smokers quit smoking.</t>
  </si>
  <si>
    <t>Percentage of current users of smokeless tobacco among total population</t>
  </si>
  <si>
    <t>Status of using smokeless tobacco among total population</t>
  </si>
  <si>
    <t>Percentage of former daily users of smokeless tobacco among total population and among ever daily users</t>
  </si>
  <si>
    <t>Former daily smokeless tobacco users among ever daily users</t>
  </si>
  <si>
    <t>Percentage of daily and current (daily plus non-daily) tobacco users, includes smoking and smokeless, among total population</t>
  </si>
  <si>
    <t>Tobacco use status among total population</t>
  </si>
  <si>
    <t>exposed</t>
  </si>
  <si>
    <t>mean age</t>
  </si>
  <si>
    <t>data = data %&gt;% rowwise %&gt;%mutate(freq_t5a = ifelse(!is.na(t5a), t5a,
                          ifelse(!is.na(t5aw), t5aw/7, NA)),
         freq_t5b = ifelse(!is.na(t5b), t5b,
                          ifelse(!is.na(t5bw), t5bw/7, NA)),
         freq_t5c = ifelse(!is.na(t5c), t5c,
                          ifelse(!is.na(t5cw), t5cw/7, NA)),
         freq_t5d = ifelse(!is.na(t5d), t5d,
                          ifelse(!is.na(t5dw), t5dw/7, NA)),
         freq_t5e = ifelse(!is.na(t5e), t5e,
                          ifelse(!is.na(t5ew), t5ew/7, NA)),
         freq_t5other = ifelse(!is.na(t5f), t5f,
                          ifelse(!is.na(t5fw), t5fw/7, NA)))</t>
  </si>
  <si>
    <t>data =data %&gt;% rowwise %&gt;% mutate(total_cig = ifelse(!is.na(t5a) &amp; !is.na(t5b), sum(c(t5a,t5b), na.rm = T),NA))</t>
  </si>
  <si>
    <t>Mean number of days fruit and vegetables consumed</t>
  </si>
  <si>
    <t>Mean number of fruit, vegetable, and combined fruit and vegetable servings on average per day</t>
  </si>
  <si>
    <t>P16a-b: How much time do you usually spend sitting or reclining on a typical day?</t>
  </si>
  <si>
    <t>never measured;measured, not diagnosed;diagnosed, but not within past 12 months;diagnosed within past 12 months</t>
  </si>
  <si>
    <t>never measured;measured, not diagnosed;diagnosed, but not within past 12 months ;diagnosed within past 12 months</t>
  </si>
  <si>
    <t>Percentage of the population who have sought advice or treatment from a traditional healer for diabetes among those previously diagnosed</t>
  </si>
  <si>
    <t>Percentage of the population who have sought advice or treatment from a traditional healer for raised cholesterol among those previously diagnosed</t>
  </si>
  <si>
    <t>Ever had a heart attack or chest pain from heart disease or a stroke</t>
  </si>
  <si>
    <t>CRD symptoms impacting significantly on daily activities (among those with symptoms)</t>
  </si>
  <si>
    <t>Admission to hospital due to CRD symptoms (among those with symptoms)</t>
  </si>
  <si>
    <t>Percentage of those with depression who are taking depression medication</t>
  </si>
  <si>
    <t>yes, for less than 3 months;yes, for 3 months or more;no</t>
  </si>
  <si>
    <t>taken anti-depressant medication</t>
  </si>
  <si>
    <t>Percentage of those with depression receiving psychological therapy/counselling</t>
  </si>
  <si>
    <t>yes, 1 to 3 sessions;yes, 4 sessions or more;no</t>
  </si>
  <si>
    <t>current drinker (past 30 days);drank in past 12 months, not current;past 12 months abstainer;lifetime abstainer</t>
  </si>
  <si>
    <t>daily;5-6 days/ week;3-4 days/ week;1-2 days/ week;1-3 days/ month;&lt; once a month</t>
  </si>
  <si>
    <t>A9: During the past 30 days, how many times did you have six or more standard alcoholic drinks in a single drinking occasion?</t>
  </si>
  <si>
    <t>daily;5-6 days;3-4 days;1-2 days;0 days</t>
  </si>
  <si>
    <t>alc1p:Standard drinks per day in the past 7 days</t>
  </si>
  <si>
    <t>A5: Have you consumed any alcohol within the past 30 days?
A11: During the past 7 days, did you consume any homebrewed alcohol, any alcohol brought over the border, not intended for drinking or other untaxed alcohol?</t>
  </si>
  <si>
    <t>pef:Peak expiratory flow (PEF) measurement</t>
  </si>
  <si>
    <t>pefresult&lt;80</t>
  </si>
  <si>
    <t>under-weight 
&lt;18.5;normal weight
18.5-24.9;BMI
25.0-29.9;obese
≥30.0</t>
  </si>
  <si>
    <t>Raised blood glucose or currently on medication for diabetes (diabetes prevalence)</t>
  </si>
  <si>
    <t>6. Percentage with controlled blood pressure (SBP &lt; 140 mmHg) among those with diabetes</t>
  </si>
  <si>
    <t>7. Percentage with raised total cholesterol 
(≥ 5.0 mmol/L or ≥ 190 mg/dl or currently on medication for raised cholesterol)</t>
  </si>
  <si>
    <t>Mean High Density Lipoprotein (HDL) and percentage of population with low HDL levels</t>
  </si>
  <si>
    <t xml:space="preserve">(age&gt;=40 &amp; age &lt;70 &amp; !is.na(calib_risk)) </t>
  </si>
  <si>
    <t>1. Percentage with impaired fasting glycaemia
(plasma venous value ≥6.1 mmol/L (110 mg/dl) and &lt;7.0 mmol/L (126 mg/dl)  or capillary whole blood value ≥5.6 mmol/L (100 mg/dl) and &lt;6.1 mmol/L (110 mg/dl))</t>
  </si>
  <si>
    <t>Categorization of population into blood glucose level categories and percentage of the population currently on medication for raised blood glucose (non-fasting recipients excluded)
Impaired fasting glycaemia definition: plasma venous value ≥6.1 mmol/L (110 mg/dl) and &lt;7.0 mmol/L (126 mg/dl)  or capillary whole blood value ≥5.6 mmol/L (100 mg/dl) and &lt;6.1 mmol/L (110 mg/dl)
Raised blood glucose (diabetes) definition: plasma venous value ≥ 7.0 mmol/L (126 mg/dl) or capillary whole blood value ≥ 6.1 mmol/L (110 mg/dl) or currently on medication for diabetes</t>
  </si>
  <si>
    <t>daily smokers</t>
  </si>
  <si>
    <t>mean duration</t>
  </si>
  <si>
    <t>mean # of manufactured cig.;mean # of hand-rolled cig.;mean # of pipes of tobacco;mean # of cigars, cheroots, cigarillos;mean # of shisha sessions;mean # of other type of tobacco</t>
  </si>
  <si>
    <t>current smokers;non-smokers</t>
  </si>
  <si>
    <t>daily;non-daily:former smoker;never smoker</t>
  </si>
  <si>
    <t>manu-factured cigarette smoker</t>
  </si>
  <si>
    <t>cigarette smokers</t>
  </si>
  <si>
    <t>manuf. cigs.;hand-rolled cigs.;pipes of tobacco;cigars, cheroots, cigarillos;shisha;other</t>
  </si>
  <si>
    <t>daily;non-daily:past user;never used</t>
  </si>
  <si>
    <t>daily;non-daily:former user;never user</t>
  </si>
  <si>
    <t>&lt;5 cigs.;5-9 cigs;10-14 cigs;15-24 cigs;≥ 25 cigs</t>
  </si>
  <si>
    <t>current smokers</t>
  </si>
  <si>
    <t>non-paid;student;homemaker;retired;unemployed able to work</t>
  </si>
  <si>
    <t>far too much;too much;just the right amount;too little;far too little</t>
  </si>
  <si>
    <t>very important;somewhat important;not at all important</t>
  </si>
  <si>
    <t>low;moderate;high</t>
  </si>
  <si>
    <t>mean % of activity from work;mean % of activity from transport;mean % of activity from leisure time</t>
  </si>
  <si>
    <t>Percentage of the population with symptoms suggestive of severe asthma</t>
  </si>
  <si>
    <t>Percentage of the population with chronic respiratory symptoms among those without an Asthma/COPD diagnosis</t>
  </si>
  <si>
    <t>Percentage of the population with chronic respiratory symptoms among those with an Asthma/COPD diagnosis</t>
  </si>
  <si>
    <t>Percentage of symptomatic respondents with PEF measurement consistent with airway obstruction (i.e. below 80% predicted for age, height and sex) among those participants with symptoms or a diagnosis</t>
  </si>
  <si>
    <t>PEF measurement consistent with airway obstruction (among those with symptoms or a diagnosis)</t>
  </si>
  <si>
    <t>received therapy</t>
  </si>
  <si>
    <t>Psychological therapy/counselling for depression</t>
  </si>
  <si>
    <t>Percentage of eligible persons (defined as aged 40-69 years with a 10-year cardiovascular disease (CVD) risk* ≥20%, including those with existing CVD) receiving drug therapy and counselling** (including glycaemic control) to prevent heart attacks and strokes</t>
  </si>
  <si>
    <t>cvd1riskc:Drug therapy and counselling for those with CVD risk ≥20% or existing CVD</t>
  </si>
  <si>
    <t>Percentage of eligible persons receiving drug therapy and counselling to prevent heart attacks and strokes</t>
  </si>
  <si>
    <t>data = data %&gt;% rowwise %&gt;% mutate(cln_b8 = ifelse(b8&gt;=2.6 &amp; b8&lt;=12 &amp; valid==1,1,2),
         b8 = ifelse(b8&gt;=2.6 &amp; b8&lt;=12,b8,NA),         
         b8mg=(b8*38.67))</t>
  </si>
  <si>
    <t>data = data %&gt;% rowwise %&gt;%mutate(         diabetes = case_when(h7a == 1 ~ 1, (!is.na(h7a) &amp; h7a == 2)| (!is.na(h6) &amp; h6==2) ~ 0),
         current_smoker = case_when(t1 == 1 ~ 1, t1 == 2 ~ 0),
         c_age = age - 60, c_sbp = sbp - 120, 
         b8 = ifelse(b8&gt;=2.6 &amp; b8&lt;=12, b8, NA), c_chol = b8 - 6, c_bmi = bmi - 25,         lp_m1_chd = ifelse(sex =='Women',0.1020713*c_age+0.2050377*c_chol+0.015823*c_sbp+1.070358*diabetes+1.053223*current_smoker
                            -0.0051932*c_age*c_chol-0.0001378*c_age*c_sbp-0.0234174*c_age*diabetes-0.0332666*c_age*current_smoker,
                            0.0719227*c_age +0.2284944*c_chol+0.0132183*c_sbp+0.6410114*diabetes+0.5638109*current_smoker 
                            -0.0045806*c_age*c_chol-0.0001576*c_age*c_sbp-0.0124966*c_age*diabetes-0.0182545*c_age*current_smoker),
         lp_m1_crbv = ifelse(sex =='Women', 0.1056632*c_age+0.0257782*c_chol+0.0206278*c_sbp+0.8581998*diabetes 
                             +0.7443627*current_smoker-0.0021387*c_age*c_chol-0.0004897*c_age*c_sbp-0.0209826*c_age*diabetes 
                             -0.0200822*c_age*current_smoker,
                              0.0986578*c_age+0.029526*c_chol+0.0222629*c_sbp 
                             +0.6268712*diabetes+0.4981217*current_smoker+0.00142*c_age*c_chol-0.0004147*c_age*c_sbp 
                             -0.026302*c_age*diabetes-0.0150561*c_age*current_smoker),
         erfc_chdr_m1 = ifelse(sex =='Women', 1-0.9894159^exp(lp_m1_chd),1-0.9540108^exp(lp_m1_chd)),
         erfc_strr_m1 = ifelse(sex =='Women',1-0.9890569^exp(lp_m1_crbv),1-0.9849257^exp(lp_m1_crbv)),
         risk_erfc_chdr_m1 = ifelse(ISO_existence,ifelse(sex =='Women',1 - exp(-exp(int_females_chdmi + slope_females_chdmi*log(-log(1-erfc_chdr_m1)))),
                                    1 - exp(-exp(int_males_chdmi + slope_males_chdmi*log(-log(1-erfc_chdr_m1))))),erfc_chdr_m1),
         risk_erfc_strr_m1 = ifelse(ISO_existence,ifelse(sex =='Women',1 - exp(-exp(int_females_crbv + slope_females_crbv*log(-log(1-erfc_strr_m1)))),
                                    1 - exp(-exp(int_males_crbv + slope_males_crbv*log(-log(1-erfc_strr_m1))))),erfc_strr_m1),
         calib_risk=1-(1-risk_erfc_chdr_m1)*(1-risk_erfc_strr_m1),
         calib_risk = calib_risk*100)</t>
  </si>
  <si>
    <t>wstep3lab</t>
  </si>
  <si>
    <t>factsheet_desc</t>
  </si>
  <si>
    <t>section_title</t>
  </si>
  <si>
    <t>sub_section_title</t>
  </si>
  <si>
    <t>table_order</t>
  </si>
  <si>
    <t>background</t>
  </si>
  <si>
    <t>survey_measures</t>
  </si>
  <si>
    <t>text_example</t>
  </si>
  <si>
    <t>C6: What is your [insert relevant ethnic group/racial group/cultural subgroup/others] background?</t>
  </si>
  <si>
    <t>Marital status of survey respondents.</t>
  </si>
  <si>
    <t>Current Tobacco Use_1</t>
  </si>
  <si>
    <t>Tobacco use is a leading modifiable risk factor for noncommunicable diseases (NCDs), including cardiovascular diseases, cancers, chronic respiratory diseases, and diabetes.  [OPTIONAL: relevant statistic on tobacco related deaths within country].  Preventing tobacco initiation and promoting cessation are essential to reducing the NCD burden globally and nationally.</t>
  </si>
  <si>
    <t>In [insert country name], information on tobacco use was collected in Step 1 of the WHO STEPS survey. This involved a standardized questionnaire capturing the key tobacco indicators such as:
•	Current and former tobacco use (smoking and smokeless)
•	Daily and occasional use
•	Age of initiation
•	Type of tobacco product used
•	Exposure to environmental tobacco smoke
•	Attempts to quit and receipt of cessation advice</t>
  </si>
  <si>
    <t>The prevalence of current smoking was [X%] among all adults, with [men/women] reporting higher prevalence than [women/men] [X% vs X%].  The average age of smoking initiation among current smokers was [X] years.</t>
  </si>
  <si>
    <t xml:space="preserve">Among daily smokers, the majority ([X%]) used [insert type, e.g., manufactured cigarettes]. </t>
  </si>
  <si>
    <t>Quitting Behaviour_2</t>
  </si>
  <si>
    <t>Among current smokers, [X%] reported attempting to quit in the past 12 months, and [X%] had received advice from a healthcare provider to stop smoking.</t>
  </si>
  <si>
    <t>Smokeless tobacco use was reported by [X%] of adults ([X%] among men and [X%] among women). Among smokeless tobacco users, the most common product was [insert type].</t>
  </si>
  <si>
    <t>T14a;T14aw;T14b;T14bw;T14c;T14cw;T14d;T14dw;T14e;T14ew</t>
  </si>
  <si>
    <t xml:space="preserve">The prevalence of current tobacco use among adults aged [insert age range] was [X%]. Prevalence was higher among [men/women] ([X%]) compared with [other sex] ([X%]). Daily tobacco use was reported by [X%] of adults, with higher levels among [men/women] ([X%]) than [other sex] ([X%]). Among age groups, prevalence was highest among [younger/older] adults aged [insert age range], where [X%] reported daily use. </t>
  </si>
  <si>
    <t>Second-Hand Smoke Exposure_3</t>
  </si>
  <si>
    <t>In addition to active use, [X%] of adults reported exposure to tobacco smoke. Exposure was most commonly reported in the [home/workplace/leisure setting] and was more frequent among [men/women] ([X%]) and adults aged [insert age range].</t>
  </si>
  <si>
    <t>Former daily smokeless tobacco users among total population</t>
  </si>
  <si>
    <t>T14a&gt;0 | T14aw&gt;0;T14b&gt;0 | T14bw&gt;0;T14c&gt;0 | T14cw&gt;0;T14d&gt;0 | T14dw&gt;0;T14e&gt;0 | T14ew&gt;0</t>
  </si>
  <si>
    <t>!is.na(T14a) | !is.na(T14aw);!is.na(T14b) | !is.na(T14bw);!is.na(T14c) | !is.na(T14cw);!is.na(T14d) | !is.na(T14dw);!is.na(T14e) | !is.na(T14ew)</t>
  </si>
  <si>
    <t>snuff by mouth;snuff by nose;chewing tobacco;betel quid with tobacco;other smokeless tobacco</t>
  </si>
  <si>
    <t>snuff by mouth;snuff by nose;chewing tobacco;betel quid with tobaccos;other smokeless tobacco</t>
  </si>
  <si>
    <t>!is.na(freq_T14a);!is.na(freq_T14b);!is.na(freq_T14c);!is.na(freq_T14d);!is.na(freq_T14e)</t>
  </si>
  <si>
    <t>freq_T14a;freq_T14b;freq_T14c;freq_T14d;freq_T14e</t>
  </si>
  <si>
    <t>Current Users and Abstainers_1</t>
  </si>
  <si>
    <t xml:space="preserve">Harmful use of alcohol is a major risk factor for noncommunicable diseases (NCDs), including liver cirrhosis, certain cancers, cardiovascular diseases, and mental health disorders. It also contributes to injuries and violence, placing a significant burden on health systems and society.  Reducing harmful alcohol use is a key target in global NCD strategies and the Sustainable Development Goals (SDGs). </t>
  </si>
  <si>
    <t>In [insert country name], data on alcohol use was collected in Step 1 of the STEPS survey using the standard WHO questionnaire. The following indicators were measured:
•	Current alcohol use (past 30 days)
•	Lifetime and past 12 months abstinence
•	Frequency and quantity of alcohol consumption
•	Heavy episodic drinking
•	Unrecorded alcohol
•	Alcohol related problems</t>
  </si>
  <si>
    <t>Current alcohol use (past 30 days) was reported by [insert %]. This was higher among [men/women] at [insert %] compared to [insert %] of [insert opposite sex]. [Insert %] of current drinkers reported drinker every day in the past 7 days. This is higher in [men/women] at [insert %] than [other sex] at [insert %]. It is also higher among [age descriptor: younger/older] adults age [insert age range} at [insert %]. // [IF NO STATISTICALLY SIGNIFICANT DIFFERENCE BETWEEN GROUPS: There is no statistically significant difference in use between men and women//between age groups.]. Lifetime abstainers accounted for [insert %] of adults aged [insert age range], with higher prevalence among [men/women]. Past 12-month abstinence was reported by [insert %] of respondents.</t>
  </si>
  <si>
    <t>Mean number of standard drinks of unrecorded alcohol consumed on average per day in the past 7 days among current (past 30 days) drinkers</t>
  </si>
  <si>
    <t>A12a-e: On average, how many standard drinks of the following did you consume during the past 7 days?</t>
  </si>
  <si>
    <t>a12a;a12b;a12c;a12d;a12e</t>
  </si>
  <si>
    <t>Mean number of standard drinks of unrecorded alcohol consumed on average per day in the past 7 days among current drinkers</t>
  </si>
  <si>
    <t>alc1s:Percent of unrecorded alcohol from all alcohol consumed</t>
  </si>
  <si>
    <t>Percentage of unrecorded alcohol from all alcohol consumed during the past 7 days among current (past 30 days) drinkers</t>
  </si>
  <si>
    <t>A10a-g: During each of the past 7 days, how many standard drinks did you have each day?
A11: During the past 7 days, did you consume any homebrewed alcohol, any alcohol brought over the border, not intended for drinking or other untaxed alcohol?
A12a-e: On average, how many standard drinks of the following did you consume during the past 7 days?</t>
  </si>
  <si>
    <t>percentunrec</t>
  </si>
  <si>
    <t>a10a;a10b;a10c;a10d;a10e;a10f;a10g;a12a;a12b;a12c;a12d;a12e;a1;a2;a5</t>
  </si>
  <si>
    <t>%unrecorded alcohol of all alcohol</t>
  </si>
  <si>
    <t>sum(past7unrec*wstep1,na.rm=T)/sum(weekly_drinks*wstep1,na.rm=T)</t>
  </si>
  <si>
    <t>alc1t:Types of unrecorded alcohol</t>
  </si>
  <si>
    <t>Percentage of each type of unrecorded alcohol of all unrecorded alcohol consumed in the past 7 days among current (past 30 days) drinkers</t>
  </si>
  <si>
    <t>A11: During the past 7 days, did you consume any homebrewed alcohol, any alcohol brought over the border, not intended for drinking or other untaxed alcohol?
A12a-e: On average, how many standard drinks of the following did you consume during the past 7 days?</t>
  </si>
  <si>
    <t>percentunrec_a;percentunrec_b;percentunrec_c;percentunrec_d;percentunrec_e</t>
  </si>
  <si>
    <t>a10a;a10b;a10c;a10d;a10e;a10f;a10g;a12a;a12b;a12c;a12d;a12e;a1;a2;a5;a11</t>
  </si>
  <si>
    <t>Unrecorded alcohol consumption during the past 7 days by type</t>
  </si>
  <si>
    <t>% home-brewed spirits;% home-brewed beer/wine;% brought over border;% surrogate alcohol;% other</t>
  </si>
  <si>
    <t>sum(a12a*wstep1,na.rm=T)/sum(past7unrec*wstep1,na.rm=T);sum(a12b*wstep1,na.rm=T)/sum(past7unrec*wstep1,na.rm=T);sum(a12c*wstep1,na.rm=T)/sum(past7unrec*wstep1,na.rm=T);sum(a12d*wstep1,na.rm=T)/sum(past7unrec*wstep1,na.rm=T);sum(a12e*wstep1,na.rm=T)/sum(past7unrec*wstep1,na.rm=T)</t>
  </si>
  <si>
    <t>alc1u:Frequency of impaired control over drinking</t>
  </si>
  <si>
    <t>Frequency of not being able to stop drinking once started during the past 12 months among past 12 month drinkers</t>
  </si>
  <si>
    <t>A2: Have you consumed any alcohol within the past 12 months?
A13: How often during the past 12 months have you found that you were not able to stop drinking once you had started?</t>
  </si>
  <si>
    <t>A2;A13</t>
  </si>
  <si>
    <t>monthly or more frequently;less than monthly;never</t>
  </si>
  <si>
    <t>alc1v:Frequency of failing to do what was normally expected because of drinking</t>
  </si>
  <si>
    <t>Frequency of failing to do what was normally expected from you because of drinking during the past 12 months among past 12 month drinkers</t>
  </si>
  <si>
    <t>A2: Have you consumed any alcohol within the past 12 months?
A14: How often during the past 12 months have you failed to do what was normally expected from you because of drinking?</t>
  </si>
  <si>
    <t>A2;A14</t>
  </si>
  <si>
    <t>Frequency of failing to do what was normally expected from you during the past 12 months among past 12 month drinkers</t>
  </si>
  <si>
    <t>alc1w:Frequency of morning drinking</t>
  </si>
  <si>
    <t>Frequency of needing a first drink in the morning to get going after a heavy drinking session during the past 12 months among past 12 month drinkers</t>
  </si>
  <si>
    <t>A2: Have you consumed any alcohol within the past 12 months?
A15: How often during the past 12 months have you needed a first drink in the morning to get yourself going after a heavy drinking session?</t>
  </si>
  <si>
    <t>A2;A15</t>
  </si>
  <si>
    <t>Frequency of needing a first drink in the morning to get going during the past 12 months among past 12 month drinkers</t>
  </si>
  <si>
    <t>alc1x:Frequency of problems with family/ partner due to someone else’s drinking</t>
  </si>
  <si>
    <t>A16: Have you had family problems or problems with your partner due to someone else’s drinking within the past 12 months?</t>
  </si>
  <si>
    <t>All;All;All</t>
  </si>
  <si>
    <t>A16</t>
  </si>
  <si>
    <t>Mean</t>
  </si>
  <si>
    <t>Heavy episodic drinking_2</t>
  </si>
  <si>
    <t>Heavy episodic drinking was reported by [insert %] of adults, notably higher among [men/women] ([insert %]) and adults age [insert age range] ([insert %]). // [IF NO STATISTICALLY SIGNIFICANT DIFFERENCE BETWEEN GROUPS: There is no statistically significant difference between men and women//between age groups.]</t>
  </si>
  <si>
    <t>consumed unrecorded alcohol</t>
  </si>
  <si>
    <t>Fruit and Vegetable Consumption_1</t>
  </si>
  <si>
    <t>Inadequate consumption of fruits and vegetables is a major dietary risk factor for noncommunicable diseases such as cardiovascular disease, diabetes, and certain cancers. The World Health Organization (WHO) recommends a minimum of five servings, or about 400 grams, of fruits and vegetables each day to reduce these risks.</t>
  </si>
  <si>
    <t>Data on fruit and vegetable consumption was collected in Step 1 of the survey using the standard WHO questionnaire. The following indicators were captured:
•	Number of days per week fruits and vegetables are consumed 
•	Number of servings per day for fruits and for vegetables 
•	Combined daily intake of servings of fruits and vegetables</t>
  </si>
  <si>
    <t>The mean number of days fruits were consumed per week was [X] days, while vegetables were consumed on average [X] days. The mean number of servings per day was [x] for fruits and [X] for vegetables. Overall, [XX%] of adults consumed fewer than five combined servings of fruits and vegetables per day. [if no statistically significant difference between groups: There was no statistically significant difference between men and women//between age groups.]</t>
  </si>
  <si>
    <t>Salt Consumption_2</t>
  </si>
  <si>
    <t>Excessive salt intake is closely linked to high blood pressure and a greater likelihood of stroke and heart disease. To mitigate these risks, WHO advises limiting daily salt consumption to less than 5 grams, equivalent to about 2 grams of sodium.</t>
  </si>
  <si>
    <t>Data on salt consumption was collected in Step 1 of the survey using the standard WHO questionnaire. The following indicators were captured:
•	Frequency of adding salt or salty sauces while eating and during cooking
•	Consumption of processed foods high in salt
Additionally, urinary sodium excretion was measured in Step 3 to estimate daily salt intake.</t>
  </si>
  <si>
    <t>Current alcohol use (past 30 days) was reported by [insert %]. This was higher among [men/women] at [insert %] compared to [insert %] of [insert opposite sex]. [Insert %] of current drinkers reported drinker every day in the past 7 days. This is higher in [men/women] at [insert %] than [other sex] at [insert %]. It is also higher among [age descriptor: younger/older] adults age [insert age range] at [insert %]. // [IF NO STATISTICALLY SIGNIFICANT DIFFERENCE BETWEEN GROUPS: There is no statistically significant difference in use between men and women//between age groups.]. Lifetime abstainers accounted for [insert %] of adults aged [insert age range], with higher prevalence among [men/women]. Past 12-month abstinence was reported by [insert %] of respondents.</t>
  </si>
  <si>
    <t>[XX%] of participants reported always or often adding salt or salty sauce to food before or during meals. Women were more likely to do so [XX%] than men [XX%]. [XX%] reported consuming processed foods high in salt always or often. This was higher among women at [XX%] compared to men at [XX%]. The mean intake of salt per day was estimated to be [XX grams]. Intake was higher/lower among [men/women or age group] OR no statisically-significant differences existed [between men/women, between age groups].</t>
  </si>
  <si>
    <t>t14a;t14aw;t14b;t14bw;t14c;t14cw;t14d;t14dw;t14e;t14ew</t>
  </si>
  <si>
    <t>data = data %&gt;% rowwise %&gt;%mutate(freq_t14a = ifelse(!is.na(t14a), t14a,
                          ifelse(!is.na(t14aw), t14aw/7, NA)),
         freq_t14b = ifelse(!is.na(t14b), t14b,
                          ifelse(!is.na(t14bw), t14bw/7, NA)),
         freq_t14c = ifelse(!is.na(t14c), t14c,
                          ifelse(!is.na(t14cw), t14cw/7, NA)),
         freq_t14d = ifelse(!is.na(t14d), t14d,
                          ifelse(!is.na(t14dw), t14dw/7, NA)),
         freq_t14e = ifelse(!is.na(t14e), t14e,
                          ifelse(!is.na(t14ew), t14ew/7, NA)))</t>
  </si>
  <si>
    <t>t5a;t5aw;t5b;t5bw;t5c;t5cw;t5d;t5dw;t5e;t5ew;t5f;t5fw</t>
  </si>
  <si>
    <t>freq_t5a;freq_t5b;freq_t5c;freq_t5d;freq_t5e;freq_T5other</t>
  </si>
  <si>
    <t>Data on physical activity was collected in Step 1 using the WHO Global Physical Activity Questionnaire (GPAQ), which captures information on activity across three domains:
•	Work-related physical activity
•	Transport-related physical activity (e.g., walking or cycling)
•	Recreational (leisure-time) physical activity
•	Total minutes per week of moderate and vigorous activity
•	Proportion of adults meeting WHO physical activity recommendations
•	Sedentary behavior, including time spent sitting per day</t>
  </si>
  <si>
    <t>H12: Have you ever had your cholesterol (fat levels in your blood) measured by a doctor or other health worker?
H13a: Have you ever been told by a doctor or other health worker that you have raised cholesterol?
H13b: Have you been told in the past 12 months?</t>
  </si>
  <si>
    <t>H1: Have you ever had your blood pressure measured by a doctor or other health worker?
H2a: Have you ever been told by a doctor or other health worker that you have raised blood pressure or hypertension?
H2b: Have you been told in the past 12 months?</t>
  </si>
  <si>
    <t>Blood pressure measurement and diagnosis among total population</t>
  </si>
  <si>
    <t>Blood sugar measurement and diagnosis among total population</t>
  </si>
  <si>
    <t>Total cholesterol measurement and diagnosis among total population</t>
  </si>
  <si>
    <t xml:space="preserve">Overall patterns of physical activity_1 </t>
  </si>
  <si>
    <t>[X%] of adults aged [X-Y] years met the WHO recommended levels of physical activity. Overall, [X%] of participants were classified as physically inactive (i.e., less than 150 minutes of moderate-intensity activity per week). When separated by activity domain, [X%] of total activity was work-related, [X%] was transport-related, and [X%] was recreational. [X%] of participants did not engage in an sedentary/leisure activities and  [X%] did not engage in any vigorous activities.
Physical inactivity was more prevalent among: [X %] of [men/women] vs. [X %] of [insert other sex] and among [X%] of respondents aged [X-Y years] compared to [X %] adults aged [X-Y years]. // [If no statistically significant difference between groups: There was no statistically significant difference between men and women//between age groups.]
The median time spent on physical activity per day was [X minutes], with [insert interquartile range] variation. [X %] of respondents reported no vigorous physical activity in any domain.</t>
  </si>
  <si>
    <t>Raised blood pressure (also known as hypertension) is one of the most significant risk factors for CVD, stroke, and kidney disease.  Globally, hypertension accounts for an estimated 10 million deaths annually and is a leading cause of premature mortality.  Effective prevention, early detection, and management of hypertension are crucial for reducing the NCD burden.</t>
  </si>
  <si>
    <t>H6: Have you ever had your blood sugar measured by a doctor or other health worker?
H7a: Have you ever been told by a doctor or other health worker that you have raised blood sugar or diabetes?
H7b: Have you been told in the past 12 months?</t>
  </si>
  <si>
    <t xml:space="preserve">Raised blood cholesterol is a major modifiable risk factor for NCDs, particularly CVD, including heart attacks and strokes.  Early detection, lifestyle modification, and appropriate medical treatment can significantly reduce cardiovascular risk. </t>
  </si>
  <si>
    <t>CX1: Have you ever had a screening test for cervical cancer, using any of these methods described above?</t>
  </si>
  <si>
    <t>cxs2:Cervical cancer screening age</t>
  </si>
  <si>
    <t>Mean age of screening for cervical cancer among those who ever had a test</t>
  </si>
  <si>
    <t>CX1: Have you ever had a screening test for cervical cancer, using any of these methods described above?
CX2. At what age were you first tested for cervical cancer?</t>
  </si>
  <si>
    <t>cx2</t>
  </si>
  <si>
    <t>cx1;cx2</t>
  </si>
  <si>
    <t>Cervical cancer screening mean age</t>
  </si>
  <si>
    <t>cxs3:Cervical cancer screening last test</t>
  </si>
  <si>
    <t>Most recent screening test for cervical cancer</t>
  </si>
  <si>
    <t>CX1: Have you ever had a screening test for cervical cancer, using any of these methods described above?
CX3. When was your last (most recent) test for cervical cancer?</t>
  </si>
  <si>
    <t>cx1;cx3</t>
  </si>
  <si>
    <t>Last cervical cancer screening test</t>
  </si>
  <si>
    <t>cxs4:Cervical cancer screening test reson</t>
  </si>
  <si>
    <t>Main reason for last cervical cancer screening test</t>
  </si>
  <si>
    <t>CX1: Have you ever had a screening test for cervical cancer, using any of these methods described above?
CX4. What is the main reason you had your last test for cervical cancer?</t>
  </si>
  <si>
    <t>cx1;cx4</t>
  </si>
  <si>
    <t>Reason for last cervical cancer screening test</t>
  </si>
  <si>
    <t>cxs5:Cervical cancer screening test place</t>
  </si>
  <si>
    <t>Place where the last cervical cancer screening test was conducted</t>
  </si>
  <si>
    <t>CX1: Have you ever had a screening test for cervical cancer, using any of these methods described above?
CX5. Where did you receive your last test for cervical cancer?</t>
  </si>
  <si>
    <t>cx1;cx5</t>
  </si>
  <si>
    <t>Place for last cervical cancer screening test</t>
  </si>
  <si>
    <t>cxs6:Cervical cancer screening test result</t>
  </si>
  <si>
    <t>Result of the last cervical cancer screening test</t>
  </si>
  <si>
    <t>CX1: Have you ever had a screening test for cervical cancer, using any of these methods described above?
CX6. What was the result of your last (most recent) test for cervical cancer?</t>
  </si>
  <si>
    <t>cx1;cx6</t>
  </si>
  <si>
    <t>Last cervical cancer screening test result</t>
  </si>
  <si>
    <t>cxs7:Cervical cancer screening follow-up</t>
  </si>
  <si>
    <t>Percentage of women with a follow-up visit among those with an abnormal or suspect test result</t>
  </si>
  <si>
    <t>CX1: Have you ever had a screening test for cervical cancer, using any of these methods described above?
CX6. What was the result of your last (most recent) test for cervical cancer?
CX7.  Did you have any follow-up visits because of your test results?</t>
  </si>
  <si>
    <t>cx6;cx7</t>
  </si>
  <si>
    <t>Follow-up visit</t>
  </si>
  <si>
    <t>cxs8:Cervical cancer treatment</t>
  </si>
  <si>
    <t>Percentage of women who received treatment following last cervical cancer test result</t>
  </si>
  <si>
    <t>CX1: Have you ever had a screening test for cervical cancer, using any of these methods described above?
CX6. What was the result of your last (most recent) test for cervical cancer?
CX8. Did you receive any treatment to your cervix because of your test result?</t>
  </si>
  <si>
    <t>cx6;cx8</t>
  </si>
  <si>
    <t>Cervical cancer treatment</t>
  </si>
  <si>
    <t>cxs11:No cervical cancer screening test</t>
  </si>
  <si>
    <t>Reason for never having a cervical cancer screening test</t>
  </si>
  <si>
    <t>CX1: Have you ever had a screening test for cervical cancer, using any of these methods described above?
CX11. What is the main reason you have never had a cervical cancer test?</t>
  </si>
  <si>
    <t>All;All;All;All;All;All;All;All;All;All</t>
  </si>
  <si>
    <t>cx1;cx11</t>
  </si>
  <si>
    <t>No cervical cancer screening reason</t>
  </si>
  <si>
    <t>oh1:Oral health condition</t>
  </si>
  <si>
    <t>Self assessment of oral health condition</t>
  </si>
  <si>
    <t>o1</t>
  </si>
  <si>
    <t>Oral health condition</t>
  </si>
  <si>
    <t>oh2:Oral health issues</t>
  </si>
  <si>
    <t>Reported oral health issues during the past 12 months</t>
  </si>
  <si>
    <t>!is.na(o2)</t>
  </si>
  <si>
    <t>Oral health issues</t>
  </si>
  <si>
    <t>oh2any:Oral health issues</t>
  </si>
  <si>
    <t>Had at least one issue</t>
  </si>
  <si>
    <t>oh3:Use of health care services</t>
  </si>
  <si>
    <t>Percentage of population that did not use health care services even though they had a problem</t>
  </si>
  <si>
    <t>o3</t>
  </si>
  <si>
    <t>Did not use health services</t>
  </si>
  <si>
    <t>oh4:Reason for not using health care services</t>
  </si>
  <si>
    <t>Percentage of population by reasons for not using oral health services</t>
  </si>
  <si>
    <t>!is.na(o4)</t>
  </si>
  <si>
    <t>Reasons for not using oral health services</t>
  </si>
  <si>
    <t>oh5:Use of fluoride toothpaste</t>
  </si>
  <si>
    <t>Proportion of population by toothpaste use</t>
  </si>
  <si>
    <t>!is.na(o5)</t>
  </si>
  <si>
    <t>o5</t>
  </si>
  <si>
    <t>Toothpaste used</t>
  </si>
  <si>
    <t>Percentage of population by number of teeth</t>
  </si>
  <si>
    <t>!is.na(o6)</t>
  </si>
  <si>
    <t>o6</t>
  </si>
  <si>
    <t>Number of available teeth</t>
  </si>
  <si>
    <t>0 teeth;1 to 9 teeth;10 to 19 teeth;20+ teeth</t>
  </si>
  <si>
    <t>Percentage of population with untreated dental caries</t>
  </si>
  <si>
    <t>o7</t>
  </si>
  <si>
    <t>Untreated dental caries</t>
  </si>
  <si>
    <t>Percentage of population with severe dental caries</t>
  </si>
  <si>
    <t>o8</t>
  </si>
  <si>
    <t>Severe dental caries</t>
  </si>
  <si>
    <t>Percentage of population with severe pain, swelling, damage or unusual lesion in or around the mouth</t>
  </si>
  <si>
    <t>o9</t>
  </si>
  <si>
    <t>Severe oral health conditions</t>
  </si>
  <si>
    <t>MHS1:Considered suicide</t>
  </si>
  <si>
    <t>Percentage of the population who considered attempting suicide during the past 12 months</t>
  </si>
  <si>
    <t>mhs1</t>
  </si>
  <si>
    <t>Considered attempting suicide</t>
  </si>
  <si>
    <t>MHS2:Seek professional help</t>
  </si>
  <si>
    <t>Percentage of those that considered attempting suicide who sought professional help</t>
  </si>
  <si>
    <t>mhs2</t>
  </si>
  <si>
    <t>Sought professional help</t>
  </si>
  <si>
    <t>MHS3:Suicide plan</t>
  </si>
  <si>
    <t>Percentage of the population who made a plan for suicide during past 12 months</t>
  </si>
  <si>
    <t>mhs3</t>
  </si>
  <si>
    <t>Plan for suicide</t>
  </si>
  <si>
    <t>MHS4:Ever attempted suicide</t>
  </si>
  <si>
    <t xml:space="preserve">Percentage of the population who ever attempted suicide </t>
  </si>
  <si>
    <t>mhs4</t>
  </si>
  <si>
    <t>Ever attempted suicide</t>
  </si>
  <si>
    <t>MHS5:Attempted suicide in the past 12 months</t>
  </si>
  <si>
    <t>Percentage of the population who attempted suicide in the past 12 months</t>
  </si>
  <si>
    <t>mhs5</t>
  </si>
  <si>
    <t>Attempted suicide in past 12 months</t>
  </si>
  <si>
    <t>MHS7:Seek medical care</t>
  </si>
  <si>
    <t>Percentage of  those who sought medical care amonmg population that attempted suicide in the past 12 months</t>
  </si>
  <si>
    <t>mhs7</t>
  </si>
  <si>
    <t>Sought medical care</t>
  </si>
  <si>
    <t>vi1:Seat belt</t>
  </si>
  <si>
    <t>Frequency of seat belt use over the past 30 days</t>
  </si>
  <si>
    <t>All;All;All;All;All</t>
  </si>
  <si>
    <t>v1</t>
  </si>
  <si>
    <t>Seat belt use frequency</t>
  </si>
  <si>
    <t>vi2:Helmet</t>
  </si>
  <si>
    <t>Frequency of helmet use over the past 30 days</t>
  </si>
  <si>
    <t>v2</t>
  </si>
  <si>
    <t>Helmet use frequency</t>
  </si>
  <si>
    <t>vi3:Road traffic crash</t>
  </si>
  <si>
    <t>v3</t>
  </si>
  <si>
    <t>Involved in road traffic crash</t>
  </si>
  <si>
    <t>vi4:Road traffic injuries</t>
  </si>
  <si>
    <t>Percentage of the population that required medical attention out of those involved in a road traffic crash</t>
  </si>
  <si>
    <t>v3;v4</t>
  </si>
  <si>
    <t>Required medical attention after road traffic crash injuries</t>
  </si>
  <si>
    <t>vi5:Other injuries</t>
  </si>
  <si>
    <t>Percentage of total population with injuries, other than traffic crashes, that required medical attention</t>
  </si>
  <si>
    <t>v5</t>
  </si>
  <si>
    <t>Required medical attention after other injuries</t>
  </si>
  <si>
    <t>vi6:Cause of injury</t>
  </si>
  <si>
    <t>Percentage of the population by cause of injury out of those with non-traffic related injuries that required medical attention</t>
  </si>
  <si>
    <t>All;All;All;All;All;All;All</t>
  </si>
  <si>
    <t>v5;v6</t>
  </si>
  <si>
    <t>Causes of injuries</t>
  </si>
  <si>
    <t>vi7:Location</t>
  </si>
  <si>
    <t>Percentage of the population by location where injury took place</t>
  </si>
  <si>
    <t>v7</t>
  </si>
  <si>
    <t>Location of injuries</t>
  </si>
  <si>
    <t>vi11:Injured</t>
  </si>
  <si>
    <t>Percentage of the population injured in a violent incident in the past 12 months and required medical attention</t>
  </si>
  <si>
    <t>v11</t>
  </si>
  <si>
    <t>Injured in a violent incident and required medical attention</t>
  </si>
  <si>
    <t>vi12:Cause of violent injury</t>
  </si>
  <si>
    <t>Causes of injuries in the last 12 months</t>
  </si>
  <si>
    <t>v12</t>
  </si>
  <si>
    <t>Injury causes</t>
  </si>
  <si>
    <t>vi13a:Relationship</t>
  </si>
  <si>
    <t>All;All;All;All;All;All;All;All</t>
  </si>
  <si>
    <t>v13</t>
  </si>
  <si>
    <t>Relationship with person who caused injury</t>
  </si>
  <si>
    <t xml:space="preserve">vi17:Frightened </t>
  </si>
  <si>
    <t>Percentage of the population frightened for their safety</t>
  </si>
  <si>
    <t>v17</t>
  </si>
  <si>
    <t>Frightened by other persons</t>
  </si>
  <si>
    <t>vi18a:Frightened by</t>
  </si>
  <si>
    <t>v18</t>
  </si>
  <si>
    <t>Relationship with the person who caused the fright</t>
  </si>
  <si>
    <t>vi19:Firearm</t>
  </si>
  <si>
    <t>Percentage of the population who carried a loaded firearm in the past 30 days</t>
  </si>
  <si>
    <t>v19</t>
  </si>
  <si>
    <t>Carried a loaded firearm</t>
  </si>
  <si>
    <t>Percentage of the population involved in a road traffic crash over the past 12 months</t>
  </si>
  <si>
    <t>Relationship to person(s) who caused injury</t>
  </si>
  <si>
    <t>service not available;too expensive;service too far away;poor service quality;fear (afraid of dental care);no appointment available;relief from self-medication;other</t>
  </si>
  <si>
    <t>had pain;had difficulty eating food;had difficulty speaking;avoided smiling;had difficulty doing usual activities;other issues</t>
  </si>
  <si>
    <t>excellent;very good;good;fair;poor</t>
  </si>
  <si>
    <t>toothpaste with fluoride;toothpaste without fluoride;toothpaste with unknown fluoride content (other);no toothpaste used</t>
  </si>
  <si>
    <t>all of the time;sometimes;never;have not been in a vehicle in past 30 days;no seat belt in the car I usually drive</t>
  </si>
  <si>
    <t>all of the time;sometimes;never;have not been on a motorcycle or motor-scooter in past 30 days;do not have a helmet</t>
  </si>
  <si>
    <t>yes (as driver);yes (as passenger);yes (as pedestrian);no</t>
  </si>
  <si>
    <t>fall;burn;poisoning;cut;near-drowning;animal bite;other</t>
  </si>
  <si>
    <t>home;school;workplace;road/street/highway;farm;sports/athletic area;other</t>
  </si>
  <si>
    <t>never;rarely (1-2 times);sometimes (3-5 times);often (6 or more times)</t>
  </si>
  <si>
    <t xml:space="preserve">being shot with a firearm;a weapon (other than a firearm) was used by the person who injured me;being injured without any weapon (slapped, pushed…) </t>
  </si>
  <si>
    <t>intimate partner;parent;child, sibling, or other relative ;friend or acquaintance;unrelated caregiver;stranger;official or legal authorities;other</t>
  </si>
  <si>
    <t/>
  </si>
  <si>
    <t>no;yes, for protection;yes, for work;yes, for sport (e.g. hunting target practice)</t>
  </si>
  <si>
    <t>CRD1: Have you ever been told by a doctor or other health worker that you have asthma?
CRD3: Have you ever been told by a doctor or other health worker that you have chronic obstructive pulmonary diseases (COPD) or chronic bronchitis or emphysema?</t>
  </si>
  <si>
    <t>CRD1: Have you ever been told by a doctor or other health worker that you have asthma?
CRD2: In the past two weeks, have you taken any drugs (medication, including inhalers) for asthma prescribed by a doctor or other health worker?
CRD3: Have you ever been told by a doctor or other health worker that you have chronic obstructive pulmonary diseases (COPD) or chronic bronchitis or emphysema?
CRD4: In the past two weeks, have you taken any drugs (medication, including inhalers) for chronic obstructive pulmonary (COPD) or chronic bronchitis or emphysema prescribed by a doctor or other health worker?</t>
  </si>
  <si>
    <t xml:space="preserve">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CRD7: How many attacks of wheezing have you had in the past 12 months?
CRD8: In the past 12 months, how often, on average has your sleep been disturbed due to wheezing, shortness of breath or coughing?
CRD9: In the past 12 months, has wheezing ever been severe enough to limit your speech to only one or two words at a time between breaths?
</t>
  </si>
  <si>
    <t>CRD6: In the past 12 months, have you had wheezing or whistling in your chest?
CRD10: In the past 12 months, have you coughed on most days, for at least 3 months?
CRD12: Are you troubled by shortness of breath when hurrying on the level or walking up a slight hill?</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</si>
  <si>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</si>
  <si>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CRD13: In the past 12 months, have you missed work or have your daily activities been affected by your breathing problems?</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</si>
  <si>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CRD14: In the past 12 months, have you been admitted to hospital because of your breathing problems?</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</si>
  <si>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PEF3a-c. Peak Expiratory Flow Measurement 1-3 (L/min)</t>
  </si>
  <si>
    <t xml:space="preserve">O1: How do you rate your oral health (conditions of teeth, gums and mouth) right now? </t>
  </si>
  <si>
    <t xml:space="preserve">O2: During the past twelve months, did you experience one or more of the following issues because of your teeth, gums or mouth? </t>
  </si>
  <si>
    <t>O3: During the past twelve months, have you used health care services because of a problem with your teeth, gums or mouth?</t>
  </si>
  <si>
    <t>O2: During the past twelve months, did you experience one or more of the following issues because of your teeth, gums or mouth?
O3: During the past twelve months, have you used health care services because of a problem with your teeth, gums or mouth?
O4: What were the reasons for not using a health care services?  Please mark all that apply</t>
  </si>
  <si>
    <t>O5: Please indicate which of the following toothpastes shown do you use to clean your teeth?</t>
  </si>
  <si>
    <t>O6: Tooth count</t>
  </si>
  <si>
    <t xml:space="preserve">O7: Presence of untreated dental caries
</t>
  </si>
  <si>
    <t>O8: Presence of severe dental caries</t>
  </si>
  <si>
    <t>O9: Presence of severe pain, swelling, damage or unusual lesion in or around the mouth</t>
  </si>
  <si>
    <t>oh6:Tooth count</t>
  </si>
  <si>
    <t>oh7:Untreated dental caries</t>
  </si>
  <si>
    <t>oh8:Severe dental caries</t>
  </si>
  <si>
    <t>oh9:Severe oral health condition</t>
  </si>
  <si>
    <t>MH14: In the past 12 months, have you taken anti-depressant medication prescribed by a doctor or other health worker?</t>
  </si>
  <si>
    <t>MH15: In the past 12 months, have you received psychological therapy/counselling sessions for at least 30 minutes by a doctor or other health worker for the difficulties we’ve just talked about?</t>
  </si>
  <si>
    <t>MHS1: During the past 12 months, have you seriously considered attempting suicide?</t>
  </si>
  <si>
    <t>MHS1: During the past 12 months, have you seriously considered attempting suicide?
MHS2: Did you seek professional help for these thoughts?</t>
  </si>
  <si>
    <t>MHS3: During the past 12 months, have you made a plan about how you would attempt suicide?</t>
  </si>
  <si>
    <t>MHS4: Have you ever attempted suicide?</t>
  </si>
  <si>
    <t>MHS4: Have you ever attempted suicide?
MHS5: During the past 12 months, have you attempted suicide?</t>
  </si>
  <si>
    <t>MHS5: During the past 12 months, have you attempted suicide?
MHS7: Did you seek medical care for last attempt?</t>
  </si>
  <si>
    <t>V1: In the past 30 days, how often did you use a seat belt when you were the driver or passenger of a motor vehicle?</t>
  </si>
  <si>
    <t>V2: In the past 30 days, how often did you wear a helmet when you drove or rode as a passenger on a motorcycle or motor-scooter?</t>
  </si>
  <si>
    <t>V3: In the past 12 months, have you been involved in a road traffic crash as a driver, passenger, pedestrian, or cyclist?</t>
  </si>
  <si>
    <t>V3: In the past 12 months, have you been involved in a road traffic crash as a driver, passenger, pedestrian, or cyclist?
V4: Did you have any injuries in this road traffic crash which required medical attention?</t>
  </si>
  <si>
    <t>V5: In the past 12 months, were you injured accidentally, other than the road traffic crashes which required medical attention?</t>
  </si>
  <si>
    <t>V6: Please indicate which of the following was the cause of this injury:</t>
  </si>
  <si>
    <t>V7: Where were you when you had this injury?</t>
  </si>
  <si>
    <t xml:space="preserve">V11: In the past 12 months, how many times were you in a violent incident in which you were injured and required medical attention? </t>
  </si>
  <si>
    <t>V12: Please indicate which of the following caused your most serious injury in the last 12 months?</t>
  </si>
  <si>
    <t>V17: In the past 12 months, have you been frightened for the safety of yourself or your family because of the anger or threats of another person(s)?</t>
  </si>
  <si>
    <t>V19: Have you carried a loaded firearm on your person outside the home in the last 30 days?</t>
  </si>
  <si>
    <t>MH1: In the last 12 months, have you, for a period of at least 2 weeks, felt sad or depressed for most of the day, nearly every day?
MH2: In the last 12 months, have you, for a period of at least 2 weeks, been a lot less interested in, or experienced a lot less pleasure from, doing the things you normally enjoy?
MH3: Please tell me when in the last 12 months you experienced the worst period of [LOW MOOD and/or LOSS OF INTEREST OR PLEASURE] that lasted for at least 2 weeks? 
The next questions I am going to ask you will all refer specifically to this time, that is [ANSWER TO MH3]. Try to remember as best you can what you were experiencing during that time, rather than what you might have experienced at other times.
MH4: During this time in which your [LOW MOOD and/or LOSS OF INTEREST] were at its worst, that is [SPECIFY PERIOD FROM MH3], did you have more trouble concentrating and staying focused on things than usual OR did you struggle more than usual to make decisions most of the day, nearly every day for at least 2 weeks?
MH5: During that same 2-week period, in [SPECIFY PERIOD], did you feel less valuable as a person or even worthless most of the day, nearly every day?
MH6: During that same 2-week period, did you feel overly guilty about things you did or neglected to do most of the day, nearly every day?  
MH7: During that same 2-week period, did you feel more hopeless about the future, like things would never turn out well for you most of the day, nearly every day?
MH8: The next question can be a sensitive question: 
During that same 2-week period, in [SPECIFY PERIOD], on most days did you think about death or suicide, or did you try to end your life?
MH9: On most days during that same 2-week period, did you have more trouble sleeping than usual (for example falling or staying asleep), or did you sleep a lot more than you usually do?
MH10: On most days during that same 2-week period, did you not want to eat even when food was available, OR did you eat more than before your [LOW MOOD, and/or LOSS OF INTEREST] started?
MH11: On most days during that same 2-week period, did you have less energy than before your [LOW MOOD, and/or LOSS OF INTEREST] started OR were you much more tired than usual even when doing some small task?
MH12: On most days during that same 2-week period, did others notice you were moving or speaking more slowly than is normal for you, OR the opposite — did others notice you were fidgeting or pacing around a lot?
MH13: During this time when you experienced [LIST ALL ENDORSED SYMPTOMS], did these difficulties affect your ability to function in daily life (for example your work or school, your social life, your relationships)?</t>
  </si>
  <si>
    <t>V13: Please indicate the relationship between yourself and the person(s) who caused your injury.</t>
  </si>
  <si>
    <t>V18: Please specify of whom you were most often frightened.</t>
  </si>
  <si>
    <t>Among those who were frightened for their safety, whom they were most frightened of</t>
  </si>
  <si>
    <t>less than 1 year ago;1-2 years ago;&gt;2-5 years ago;more than 5 years ago</t>
  </si>
  <si>
    <t>routine exam;follow up;recommended by health care provider;recommended by other source;experiencing pain or other symptoms;other</t>
  </si>
  <si>
    <t>doctor's office;mobile clinic;community clinic;hospital;other</t>
  </si>
  <si>
    <t>no result received;normal/negative;abnormal/positive;suspect cancer;inconclusive</t>
  </si>
  <si>
    <t>was not told i needed treatment;did not know how/where to get treatment;embarrassment;too expensive;didn't have time;clinic too far away;poor service quality;fear (afraid of procedure, social stigma);cultural beliefs;family member would not allow it</t>
  </si>
  <si>
    <t>Hypertension/raised blood pressure</t>
  </si>
  <si>
    <t>pm1o:Hip circumference</t>
  </si>
  <si>
    <t>M8: For women:  Are you pregnant?
M15: Hip circumference measurement</t>
  </si>
  <si>
    <t>m15</t>
  </si>
  <si>
    <t>Hip circumference (cm)</t>
  </si>
  <si>
    <t>pm1p:Waist/hip ratio</t>
  </si>
  <si>
    <t>M8: For women:  Are you pregnant?
M14: Waist circumference measurement
M15: Hip circumference measurement</t>
  </si>
  <si>
    <t>Mean waist / hip ratio</t>
  </si>
  <si>
    <t xml:space="preserve">Cardiovascular diseases, including heart attacks, angina (chest pains related to heart disease), and strokes, are major causes of death and disability globally and in [country name].  Monitoring the prevalence of self-reported history of these events and assessing the current predicted risk of CVD in the population provides crucial insight into the burden of disease and helps guide preventive strategies. </t>
  </si>
  <si>
    <t>The [year] STEPS survey in [country name] included the following relevant measures:
•	Self-reported history of CVD events: (i) Ever had a heart attack (myocardial infarction), (ii) Ever experienced chest pain related to heart disease (angina), and  (iii) Ever had a stroke
•	Clinical and biochemical measurements used for CVD risk prediction: (i) Age, sex, smoking status, (ii) Systolic blood pressure, (iii) Body mass index, (iv) Fasting blood glucose, (v) Total cholesterol</t>
  </si>
  <si>
    <t>The presence of multiple risk factors in an individual greatly increases the likelihood of developing serious NCDs such as cardiovascular disease, diabetes, and cancer.
Understanding how these risk factors cluster in the population provides critical insight for targeted prevention, health promotion, and integrated service delivery.</t>
  </si>
  <si>
    <t>Diabetes/raised blood glucose</t>
  </si>
  <si>
    <t xml:space="preserve">Raised blood glucose and diabetes are among the most serious NCD risk factors and conditions globally. Persistent hyperglycemia can lead to complications including cardiovascular disease, kidney failure, vision loss, and lower-limb amputation.  Type 2 diabetes, the most common form, is largely preventable through healthy diet and physical activity.  Early detection and management are critical to reducing long-term complications and health care burden. </t>
  </si>
  <si>
    <t>In [country name], information about diabetes and raised blood glucose were collected in Step 1 with questions on history of diabetes measurement, diagnosis, and treatment, and then blood glucose status was assessed during Step 3 of the WHO STEPS survey. The following procedures were used:
•	Participants fasted for at least 12 hours prior to testing.
•	Blood samples were collected via [insert method, e.g., capillary or venous blood draw].
•	Fasting blood glucose levels were measured using a  [insert device or method, e.g., dry chemistry analyzer, glucometer model] which reports [insert plasma-equivalent] results
•	Raised blood glucose/diabetes was defined as:(i) Fasting plasma glucose ≥ 126 mg/dL (7.0 mmol/L), or, (ii) Currently on medication for diabetes, and/or, and (iii) Glycated Haemoglobin A1c (HbA1c) ≥ 6.5%</t>
  </si>
  <si>
    <t>Impaired fasting glycaemia</t>
  </si>
  <si>
    <t>The mean total cholesterol level among adults aged [X-Y years] was [X mg/dL]. The prevalence of raised cholesterol (including those on treatment) was [X%]. [X%] of women and [X%] of men had raised cholesterol. Mean cholesterol levels were higher among [men/women] at [X mg/dL] compared to [insert opposite sex] at [X mg/dL]. Prevalence of raised cholesterol increased with age, peaking in the [X-Y years] cohort at [X%] compared to [X%] of those aged [X-Y years]. // [If no statistically significant difference between groups: There is no statistically significant difference between men and women//between age groups.]</t>
  </si>
  <si>
    <t>Triglycerides_4</t>
  </si>
  <si>
    <t>Mean Low Density Lipoprotein (LDL) and percentage of population with high LDL levels</t>
  </si>
  <si>
    <t>Physical inactivity is a major modifiable risk factor for NCDs, including cardiovascular disease, diabetes, obesity, and certain cancers. WHO recommends that adults engage in at least 150 minutes of moderate-intensity aerobic physical activity (or 75 minutes of vigorous-intensity activity) per week. Monitoring physical activity levels helps inform public health policies aimed at reducing sedentary behavior and promoting active lifestyles.</t>
  </si>
  <si>
    <t>In [country name], information about hypertension and raised blood pressure were collected in Step 1 with questions on history of blood pressure measurement, diagnosis, and treatment. Blood pressure measurements were then collected in Step 2 of the STEPS survey using a standardized protocol. [confirm with survey protocol: Three blood pressure readings were taken 3 minutes apart from each respondent using a validated automated [device name/model] blood pressure device. The average of the last two readings was used for analysis.]
Hypertension was defined as:
•	Systolic blood pressure (SBP) ≥ 140 mmHg and/or
•	Diastolic blood pressure (DBP) ≥ 90 mmHg or
•	On medication for raised blood pressure</t>
  </si>
  <si>
    <t>Mean blood pressure and prevalence of hypertension_1</t>
  </si>
  <si>
    <t>Diagnosis, treatment and control_2</t>
  </si>
  <si>
    <t>Among those with hypertension, currently [X%] were not diagnosed. Undiagnosed high blood pressure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Among those with hypertension, [X%] had previously been diagnosed but were not on medication.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Among those with hypertension, [X%] had been diagnosed and were on medication, however their blood pressure was not controlled.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Finally, [X%] of those with hypertension had been diagnosed and were on medication which was successfully managing their blood pressure.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t>
  </si>
  <si>
    <t>Prevalence of overweight and obesity_1</t>
  </si>
  <si>
    <t xml:space="preserve">The mean BMI among adults aged [X-Y years] was [X kg/m²]. [X%] of the population was overweight, and [X%] were classified as obese. [X%] of adults were within the normal BMI range, and [X%] were underweight. 
The mean BMI was higher among [men/women] ([X kg/m²]) than [insert opposite sex] ([X kg/m²]). Obesity was most common among individuals aged [insert age group], reaching [X%] compared to adults aged [X-Y years] at [X%] and among [men/women] at [X%] compared to [insert other sex] at [X%]. In contrast, underweight was more prevalent in [insert age/sex group] at [X%] compared to [insert other group] at [X%]. </t>
  </si>
  <si>
    <t>Overweight and obesity</t>
  </si>
  <si>
    <t>In [country name], excess body weight was assessed as part of Step 2 of the WHO STEPS survey. The following procedures were used:
•	Height was measured without shoes using a standard measuring scale ([INSERT STADIOMETER: e.g., SECA 213]), to the nearest 0.1 cm.
•	Weight was measured with a digital weight scale ([INSERT SCALE: e.g., SECA 877]), to the nearest 0.1 kg, with participants wearing light clothing and no shoes.
•	Waist [and hip]  circumference was measured with [e.g., a constant tension tape], to the nearest 0.1 cm.
BMI categories were defined according to WHO classification:
•	Underweight: BMI &lt; 18.5 kg/m²
•	Normal weight: BMI 18.5–24.9 kg/m²
•	Overweight: BMI ≥ 25.0 kg/m²
•	Obesity: BMI ≥ 30.0 kg/m²</t>
  </si>
  <si>
    <t>Waist circumference_2</t>
  </si>
  <si>
    <t xml:space="preserve">Waist circumference among men averaged [X cms] and among women [X cms]. Waist-to-hip ratio averaged [X] for men and [X] for women. [Do not compare sexes, any significant differences by age group, if any.] </t>
  </si>
  <si>
    <t>Mean fasting blood glucose and diabetes prevalence_1</t>
  </si>
  <si>
    <t>Of those with raised blood glucose: 
•	[X%] were aware of their condition
•	[X%] were on treatment
•	[X%] had their blood glucose under control.</t>
  </si>
  <si>
    <t>hba1c&lt;5.7;hba1c&gt;=5.7 &amp; hba1c&lt;6.5;hba1c&gt;=6.5</t>
  </si>
  <si>
    <t>hba1c&lt;5.7%;hba1c≥5.7% &amp; hba1c&lt;6.5%;hba1c≥6.5%</t>
  </si>
  <si>
    <t xml:space="preserve">Excess body weight, including overweight and obesity, is a major risk factor for NCDs such as CVD, type 2 diabetes, certain cancers, and musculoskeletal disorders.  Body Mass Index (BMI) is a standardized measure used to assess weight status in adults. Monitoring BMI distribution in the population helps guide policies targeting healthy diet, physical activity, and lifestyle modification. </t>
  </si>
  <si>
    <t>Mean fasting blood glucose among adults aged [X-Y years] was [X mg/dL]. The prevalence of raised blood glucose or diabetes was [X%] in the total population. Prevalence was higher among [men/women] at [X%], compared to [X%] of [insert other sex]. Raised blood glucose was also more prevalent among [younger/older] adults aged [X-Y years] at [X%] compared to those aged [X-Y years] at [X%]. // [If no statistically significant difference between groups: There was no statistically significant difference between men and women//between age groups.]</t>
  </si>
  <si>
    <r>
      <t>Mean HbA1c among adults aged [X-Y years] was [X %]. The prevalence of elevated HbA1c (</t>
    </r>
    <r>
      <rPr>
        <sz val="12"/>
        <rFont val="Aptos Narrow"/>
        <family val="2"/>
      </rPr>
      <t>≥</t>
    </r>
    <r>
      <rPr>
        <sz val="12"/>
        <rFont val="Source Sans Pro"/>
        <family val="2"/>
      </rPr>
      <t>6.5%) was [X%] in the total population. Prevalence was higher among [men/women] at [X%], compared to [X%] of [insert other sex]. Elevated HbA1c was also more prevalent among [younger/older] adults aged [X-Y years] at [X%] compared to those aged [X-Y years] at [X%]. // [If no statistically significant difference between groups: There was no statistically significant difference between men and women//between age groups.]</t>
    </r>
  </si>
  <si>
    <t>Mean total cholesterol and prevalence of raised total cholesterol_1</t>
  </si>
  <si>
    <r>
      <t>Mean systolic blood pressure among adults aged [</t>
    </r>
    <r>
      <rPr>
        <i/>
        <sz val="12"/>
        <rFont val="Source Sans Pro"/>
        <family val="2"/>
      </rPr>
      <t>X-Y years</t>
    </r>
    <r>
      <rPr>
        <sz val="12"/>
        <rFont val="Source Sans Pro"/>
        <family val="2"/>
      </rPr>
      <t xml:space="preserve">] was </t>
    </r>
    <r>
      <rPr>
        <i/>
        <sz val="12"/>
        <rFont val="Source Sans Pro"/>
        <family val="2"/>
      </rPr>
      <t>[X mmHg]</t>
    </r>
    <r>
      <rPr>
        <sz val="12"/>
        <rFont val="Source Sans Pro"/>
        <family val="2"/>
      </rPr>
      <t xml:space="preserve">, while mean diastolic pressure was </t>
    </r>
    <r>
      <rPr>
        <i/>
        <sz val="12"/>
        <rFont val="Source Sans Pro"/>
        <family val="2"/>
      </rPr>
      <t>[X mmHg].</t>
    </r>
    <r>
      <rPr>
        <sz val="12"/>
        <rFont val="Source Sans Pro"/>
        <family val="2"/>
      </rPr>
      <t xml:space="preserve"> The prevalence of hypertension,</t>
    </r>
    <r>
      <rPr>
        <b/>
        <sz val="12"/>
        <rFont val="Source Sans Pro"/>
        <family val="2"/>
      </rPr>
      <t xml:space="preserve"> </t>
    </r>
    <r>
      <rPr>
        <sz val="12"/>
        <rFont val="Source Sans Pro"/>
        <family val="2"/>
      </rPr>
      <t xml:space="preserve">as defined above, was </t>
    </r>
    <r>
      <rPr>
        <i/>
        <sz val="12"/>
        <rFont val="Source Sans Pro"/>
        <family val="2"/>
      </rPr>
      <t>[X%]</t>
    </r>
    <r>
      <rPr>
        <sz val="12"/>
        <rFont val="Source Sans Pro"/>
        <family val="2"/>
      </rPr>
      <t xml:space="preserve"> among adults aged [</t>
    </r>
    <r>
      <rPr>
        <i/>
        <sz val="12"/>
        <rFont val="Source Sans Pro"/>
        <family val="2"/>
      </rPr>
      <t>X-Y</t>
    </r>
    <r>
      <rPr>
        <sz val="12"/>
        <rFont val="Source Sans Pro"/>
        <family val="2"/>
      </rPr>
      <t>]</t>
    </r>
    <r>
      <rPr>
        <b/>
        <sz val="12"/>
        <rFont val="Source Sans Pro"/>
        <family val="2"/>
      </rPr>
      <t xml:space="preserve"> </t>
    </r>
    <r>
      <rPr>
        <sz val="12"/>
        <rFont val="Source Sans Pro"/>
        <family val="2"/>
      </rPr>
      <t>years. Hypertension was more prevalent in [men/women] at [X%], compared to [X%] in [insert other sex]. Prevalence of hypertension increased with age, from [X%] in those aged [X-Y years] to [X%] in those aged [X-Y years].</t>
    </r>
  </si>
  <si>
    <t>In [country name] information about raised total cholesterol was collected in STEP1 with questions on history of total cholesterol measurements, diagnosis, and treatment, and then blood total cholesterol was assessed during STEP 3 of the WHO STEPS survey in [X-Y years]. The following procedures were used:
•	participants were required to fast for 12 hours before sample collection.
•	blood samples were taken via [insert method, e.g., capillary or venous blood draw].
•	total cholesterol was measured using a [insert device/lab method, e.g., dry chemistry analyzer or lab-based assay].
Raised total cholesterol was defined as:
•	total cholesterol ≥ 190 mg/dL (5.0 mmol/L) and/or
•	currently on medication to lower cholesterol.
Additionally, blood lipids were also assessed against the following limits:
•	triglycerides ≥ 1.7mmol/L (150mg/dl)
•	high density lipoprotein cholesterol &lt;40 mg/dl (1.03 mmol/L) for men and &lt;50 mg/dl (1.29 mmol/L) for women
•	low density lipoprotein cholesterol ≥ 130 mg/dl (3.4 mmol/L).</t>
  </si>
  <si>
    <t>Raised total cholesterol and abnormal blood lipids</t>
  </si>
  <si>
    <t>Raised total cholesterol diagnosis, treatment and control among those with raised total cholesterol or on medication</t>
  </si>
  <si>
    <t>H12: Have you ever had your cholesterol (fat levels in your blood) measured by a doctor or other health worker?
H13a: Have you ever been told by a doctor or other health worker that you have raised cholesterol?
H14: In the past two weeks, have you taken oral treatment (medication) for raised total cholesterol prescribed by a doctor or other health worker?
B8: Total cholesterol measurement</t>
  </si>
  <si>
    <t>H14: In the past two weeks, have you taken oral treatment (medication) for raised total cholesterol prescribed by a doctor or other health worker?
B8: Total cholesterol measurement</t>
  </si>
  <si>
    <t>b8;h14</t>
  </si>
  <si>
    <t>pm1g:Hypertension diagnosis, treatment and control</t>
  </si>
  <si>
    <t>pm1ga:Hypertension diagnosis, treatment and control</t>
  </si>
  <si>
    <t>pm1gax:Hypertension diagnosis, treatment and control</t>
  </si>
  <si>
    <t>Raised blood pressure diagnosis, treatment and control among those with raised blood pressure (SBP ≥ 140 and/or DBP ≥ 90 mmHg) or on medication for raised blood pressure</t>
  </si>
  <si>
    <t>Raised blood pressure treatment among those with raised blood pressure (SBP ≥ 140 and/or DBP ≥ 90 mmHg) or on medication for raised blood pressure</t>
  </si>
  <si>
    <t>Raised blood pressure control among those with raised blood pressure (SBP ≥ 140 and/or DBP ≥ 90 mmHg) or on medication for raised blood pressure</t>
  </si>
  <si>
    <t>chol_trmt</t>
  </si>
  <si>
    <t>data = data %&gt;% rowwise %&gt;%mutate(chol_trmt = if_else(h14 == 1, 1, 2))</t>
  </si>
  <si>
    <t>data = data %&gt;% rowwise %&gt;%mutate(fasted = if_else(b1 == 2, 1, 2),
         b5cln = if_else(b5 &gt;= 1 &amp; b5 &lt;= 35, 1, 2),
         cln_gluc = if_else(fasted == 1 &amp; b5cln == 1 &amp; valid == 1, 1, 2))</t>
  </si>
  <si>
    <t>raised_chol_or_meds</t>
  </si>
  <si>
    <t>data = data %&gt;% rowwise %&gt;%mutate(raised_chol_or_meds = if_else((b8&gt;=5  | chol_trmt == 1) &amp; cln_b8 == 1, 1, 2))</t>
  </si>
  <si>
    <t>Raised total cholesterol diagnosis among those with raised total cholesterol (≥ 5.0 mmol/L or ≥ 190 mg/dl) or on medication for raised total cholesterol</t>
  </si>
  <si>
    <t>Raised total cholesterol treatment among those with raised total cholesterol (≥ 5.0 mmol/L or ≥ 190 mg/dl) or on medication for raised total cholesterol</t>
  </si>
  <si>
    <t>Raised total cholesterol control among those with raised total cholesterol (≥ 5.0 mmol/L or ≥ 190 mg/dl) or on medication for raised total cholesterol</t>
  </si>
  <si>
    <t>h12;h13a;h14;b8</t>
  </si>
  <si>
    <t>B8&lt;5</t>
  </si>
  <si>
    <t>bm1n:Raised total cholesterol diagnosis, treatment and control</t>
  </si>
  <si>
    <t>bm1o:Raised total cholesterol diagnosis, treatment and control</t>
  </si>
  <si>
    <t>bm1p:Raised total cholesterol diagnosis, treatment and control</t>
  </si>
  <si>
    <t>bm1e:Diabetes diagnosis, treatment and control</t>
  </si>
  <si>
    <t>bm1f:Diabetes diagnosis, treatment and control</t>
  </si>
  <si>
    <t>bm1g:Diabetes diagnosis, treatment and control</t>
  </si>
  <si>
    <t>High density lipoprotein (HDL) cholesterol _2</t>
  </si>
  <si>
    <t xml:space="preserve">Mean high density lipoprotein (HDL) cholesterol among adults aged [X-Y years] was [X mg/dL]. The prevalence of low levels of HDL was [X%] among men and [X%] among women. </t>
  </si>
  <si>
    <t>Low  density lipoprotein (LDL)cholesterol _3</t>
  </si>
  <si>
    <t xml:space="preserve">Mean low density lipoprotein (LDL) cholesterol among adults aged [X-Y years] was [X mg/dL]. The prevalence of high levels of LDL was [X%] among men and [X%] among women. </t>
  </si>
  <si>
    <t>b1;b16</t>
  </si>
  <si>
    <t xml:space="preserve">Mean fasting triglycerides among adults aged [X-Y years] was [X mg/dL]. The prevalence of high fasting triglycerides was [X%] among men and [X%] among women. </t>
  </si>
  <si>
    <t>In [country name] information about raised total cholesterol was collected in STEP1 with questions on history of total cholesterol measurements, diagnosis, and treatment, and then blood total cholesterol was assessed during STEP 3 of the WHO STEPS survey in [X-Y years]. The following procedures were used:
•	participants were required to fast for 12 hours before sample collection.
•	blood samples were taken via [insert method, e.g., capillary or venous blood draw].
•	total cholesterol was measured using a [insert device/lab method, e.g., dry chemistry analyzer or lab-based assay].
Raised total cholesterol was defined as:
•	total cholesterol ≥ 190 mg/dL (5.0 mmol/L) and/or
•	currently on medication to lower cholesterol.
Additionally, blood lipids were also assessed against the following limits:
•	fasting triglycerides ≥ 1.7mmol/L (150mg/dl)
•	high density lipoprotein cholesterol &lt;40 mg/dl (1.03 mmol/L) for men and &lt;50 mg/dl (1.29 mmol/L) for women
•	low density lipoprotein cholesterol ≥ 130 mg/dl (3.4 mmol/L).</t>
  </si>
  <si>
    <t>The distribution of predicted 10-year CVD risk showed that [X%] of the population is at low risk (&lt;10%), [X%] at moderate risk (10–20%), and [X%] at high or very high risk (&gt;20%) of experiencing a cardiovascular event. 
[Men/women] had a higher proportion classified as high risk ([X%]) compared to [insert opposite sex] ([X %]). [Older/younger] age groups were more likely to fall into the moderate and high-risk categories, with [X%] of those aged [X-Y years] classified as high risk compared to [X%] of those aged [X-Y years]. // [If no statistically significant difference between groups: There was no statistically significant difference between men and women//between age groups.]</t>
  </si>
  <si>
    <t>Prevalence of self-reported cardiovascular events_1</t>
  </si>
  <si>
    <t>[X%] of respondents reported having had a heart attack. The prevalence was higher among [men/women] ([X%] of [men/women] vs. [X%] of [insert opposite sex]), and [decreased/increased] with age, peaking at [X%] of adults aged [X-Y years] compared to [X%] of adults aged [X-Y years]. Self-reported chest pain was reported by [X%] of the adult population, with [X%] of women and [X%] of men. [X%] of adults indicated they had experienced a stroke, with prevalence rising increasing in [older/younger] adults aged [X-Y years] compared to [X%] of adults aged [X-Y years]. // [If no statistically significant difference between groups: There was no statistically significant difference between men and women//between age groups.]</t>
  </si>
  <si>
    <t>Predicted 10-year cardiovascular disease risk_2</t>
  </si>
  <si>
    <t>Drug therapy and counselling_3</t>
  </si>
  <si>
    <t>The distribution of predicted 10-year CVD risk showed that [X%] of the population aged 40-69 years is at low risk (&lt;10%), [X%] at moderate risk (10–20%), and [X%] at high or very high risk (&gt;20%) of experiencing a cardiovascular event. 
[Men/women] had a higher proportion classified as high risk ([X%]) compared to [insert opposite sex] ([X %]). [Older/younger] age groups were more likely to fall into the moderate and high-risk categories, with [X%] of those aged [X-Y years] classified as high risk compared to [X%] of those aged [X-Y years]. // [If no statistically significant difference between groups: There was no statistically significant difference between men and women//between age groups.]</t>
  </si>
  <si>
    <t>The percentage of the population aged 40-69 years with a 10-year CVD risk ≥20% or with existing CVD who reported having received drug therapy and counselling was [X%].</t>
  </si>
  <si>
    <t>The [year] STEPS survey in [country name] included the following relevant measures:
•	Self-reported history of CVD events: (i) Ever had a heart attack (myocardial infarction), (ii) Ever experienced chest pain related to heart disease (angina), and  (iii) Ever had a stroke
•	Clinical and biochemical measurements used for CVD risk prediction: (i) Age, sex, smoking status, (ii) Systolic blood pressure, (iii) Body mass index, (iv) Self-reported diabetes diagnosis, (v) Total cholesterol measurement
Respondents were considered as receiving drug therapy if they responded positively to at least one of the following questions:
•	H3: In the past two weeks, have you taken any drugs (medication) for raised blood pressure prescribed by a doctor or other health worker?
•	H8: In the past two weeks, have you taken any drugs (medication) for diabetes prescribed by a doctor or other health worker?
•	H9: Are you currently taking insulin for diabetes prescribed by a doctor or other health worker?
•	H14: In the past two weeks, have you taken oral treatment (medication) for raised total cholesterol prescribed by a doctor or other health worker?
•	H18: Are you currently taking aspirin regularly to prevent or treat heart disease?
•	H19: Are you currently taking statins (Lovastatin/Simvastatin/Atorvastatin or any other statin) regularly to prevent or treat heart disease?
Respondents were considered as receiving counselling if they responded positively to at least one of the following questions:
•	H20a-f: During the past three years, has a doctor or other health worker advised you to do any of the following?
•	Quit using tobacco or don’t start
•	Reduce salt in your diet
•	Eat at least five servings of fruit and/or vegetables each day
•	Reduce fat in your diet
•	Start or do more physical activity
•	Maintain a healthy body weight or lose weight
•	Reduce sugary beverages in your diet</t>
  </si>
  <si>
    <t>Health behaviour advice</t>
  </si>
  <si>
    <t>Behavioural risk factors such as tobacco use, harmful alcohol consumption, unhealthy diet, and physical inactivity contribute significantly to the global burden of NCDs, including CVD, diabetes, and cancers.  Health professionals play a vital role in mitigating these risks by offering targeted lifestyle counseling and preventive advice.</t>
  </si>
  <si>
    <t>Participants were asked whether, in the past 12 months, a doctor or other health professional had advised them to:
•	Quit using tobacco or don’t start
•	Reduce salt in your diet
•	Eat at least five servings of fruit and/or vegetables each day
•	Reduce fat in your diet
•	Start or do more physical activity
•	Maintain a healthy body weight or lose weight
•	Reduce sugary beverages in your diet</t>
  </si>
  <si>
    <t>Tobacco use_1</t>
  </si>
  <si>
    <t>Diet_1</t>
  </si>
  <si>
    <t>Physical inactivity_1</t>
  </si>
  <si>
    <t>Body weight_1</t>
  </si>
  <si>
    <t xml:space="preserve">[X%] of all adults reported receiving advice to reduce salt in their diet. This was reported less frequently by [insert younger/older] adults aged [X-Y years] ([X%]) compared to adults aged [X-Y years] ([X%]). // [If no statistically significant difference between groups: There was no statistically significant difference between men and women//between age groups.]
[X%] of adults aged [X-Y years] reported being advised to eat least five serving of fruit and/or vegetables each day, while [X%] of all adults reported receiving advice to reduce salt in their diet and [X%] of all adults reported receiving advice to reduce their intake of fat. // [If no statistically significant difference between groups: There was no statistically significant difference between men and women//between age groups.]
Finally, [X%] of adults reported being advised to reduce sugary beverage consumption.
</t>
  </si>
  <si>
    <t>[X%] of all adults reported being advised by a health professional to quit using tobacco or not start using tobacco in the past 12 months. Such advice was more frequently reported by [men/women] ([X%]) compared to [insert opposite sex] ([X%]), and by individuals aged [X-Y years] ([X%]) compared to those aged [X-Y years] ([X%]). // [If no statistically significant difference between groups: There was no statistically significant difference between men and women//between age groups.]</t>
  </si>
  <si>
    <t>[X%] of adults reported being advised to become more physically active. This figure was [IF APPLICABLE: higher among those who were overweight or obese ([X %]) or with raised blood pressure or glucose.] // [If no statistically significant difference between groups: There was no statistically significant difference between men and women//between age groups.]</t>
  </si>
  <si>
    <t>[X%] of respondents received advice on maintaining a healthy weight or losing weight.</t>
  </si>
  <si>
    <t>Multiple risk factors</t>
  </si>
  <si>
    <t>This analysis includes the following risk factors, as measured in the [year] STEPS survey in [country name]:
•	Current tobacco use
•	Insufficient physical activity
•	Low fruit and vegetable intake
•	Overweight or obesity (BMI ≥25 kg/m²)
•	Raised blood pressure (SBP ≥140 or DBP ≥90 mmHg, or on medication)</t>
  </si>
  <si>
    <t xml:space="preserve">On average, adults had [X] risk factors. [X%] of the population had three or more.
Adults aged [X-Y years] had the highest prevalence of 3 or more risk factors, at [X%], compared to those aged [X-Y years] at [X%]. The percentage of individuals with 3 or more risk factors was higher in [men/women] ([X %] of [men/women] vs. [X%] of [insert opposite sex]). </t>
  </si>
  <si>
    <t>Overall distribution of risk factors_1</t>
  </si>
  <si>
    <t>Cervical cancer is one of the most preventable and treatable forms of cancer, yet it remains a major public health challenge in many low- and middle-income countries.  Persistent infection with high-risk human papillomavirus (HPV) is the main cause of cervical cancer.  As part of the WHO’s global initiative to eliminate cervical cancer as a public health problem, countries are encouraged to scale up HPV vaccination, high-performance screening, and effective treatment. Early detection through regular screening and timely treatment of pre-cancerous lesions are essential strategies for prevention.</t>
  </si>
  <si>
    <t>The survey collected data from women aged [X-Y years] on the history of cervical cancer screening.</t>
  </si>
  <si>
    <t>Cervical cancer screening uptake_1</t>
  </si>
  <si>
    <t>Cervical cancer</t>
  </si>
  <si>
    <t>Cervical cancer screening</t>
  </si>
  <si>
    <t>Oral health</t>
  </si>
  <si>
    <t>Overall, [X%] of women reported ever being screened for cervical cancer. This proportion [decreased/increased] with age, at [X%] for those aged [X-Y years] and [X%] for those aged [X-Y years]. Among women aged 30-49 years, [X%] reported having ever been screened for cervical cancer.</t>
  </si>
  <si>
    <t>Oral health is a critical but often overlooked component of overall health and well-being. Poor oral hygiene can lead to dental cavities, periodontal disease, tooth loss, and systemic infections, and is associated with chronic conditions such as diabetes and CVD.  Limited access to dental care and inadequate oral health practices contribute to a growing burden of oral diseases in many countries.  Including oral health indicators in STEPS surveys helps inform integrated health promotion and preventive care strategies.</t>
  </si>
  <si>
    <t>In [country name], oral health data were collected as part of Step 1 of the WHO STEPS survey through a structured questionnaire. The following self-reported indicators were included:
•	History of an issue with teeth, gums or mouth in the past 12 months
•	Reasons for not using oral health services for issue in the past 12 months</t>
  </si>
  <si>
    <t xml:space="preserve"> [X%] of participants reported having at least one issue with their teeth, gums or mouth in the past 12 months. The most common issues were [list those with highest frequencies]. Among those reporting having an issue, only [X%] reported using oral health services in the past 12 months. Among those who had an issue, but did not make use of oral health services, the most common reasons for not using the oral health services were [list those with highest frequencies].</t>
  </si>
  <si>
    <t>Oral health issues and care seeking_1</t>
  </si>
  <si>
    <t>Alcohol use</t>
  </si>
  <si>
    <t>Unhealthy diet</t>
  </si>
  <si>
    <t>Tobacco use</t>
  </si>
  <si>
    <t>Physical inactivity</t>
  </si>
  <si>
    <t>data = data %&gt;% rowwise %&gt;%
  mutate(bp_treatment = case_when(h3 == 1 ~ 1,
  h3 == 2 ~ 2),
  bp_treatment = replace(bp_treatment, bp_treatment==1 &amp; cln_bp==2,2),
  bp_treatment = replace(bp_treatment, is.na(bp_treatment) | cln_bp==2,3),
  raisedbp_140_90 = if_else(raisedsbp &gt;= 2 | raiseddbp &gt;= 2, 1,2),
  raisedbp_140_90_meds = if_else(raisedbp_140_90 == 1 | bp_treatment == 1, 1, 2),
  raisedbp_160_100 = if_else(raisedsbp == 3 | raiseddbp == 3,1,2),
  raisedbp_160_100_meds = if_else(raisedbp_160_100==1 | bp_treatment == 1,1,2))</t>
  </si>
  <si>
    <t>bp_treatment;raisedbp_140_90_meds;raisedbp_160_100_meds</t>
  </si>
  <si>
    <t>Alcohol consumption</t>
  </si>
  <si>
    <t>Physical activity</t>
  </si>
  <si>
    <t>History of raised blood pressure</t>
  </si>
  <si>
    <t>History of diabetes</t>
  </si>
  <si>
    <t>History of raised total cholesterol</t>
  </si>
  <si>
    <t>History of cardiovascular diseases</t>
  </si>
  <si>
    <t>Lifestyle advice</t>
  </si>
  <si>
    <t>Chronic respiratory diseases</t>
  </si>
  <si>
    <t>Mental health - depression</t>
  </si>
  <si>
    <t>Mental Health - suicide</t>
  </si>
  <si>
    <t>Violence and injury</t>
  </si>
  <si>
    <t>Physical measurements</t>
  </si>
  <si>
    <t>Biochemical measurements</t>
  </si>
  <si>
    <t>Summary of combined risk factors</t>
  </si>
  <si>
    <t>Diagnosed with diabetes among those with raised blood glucose or currently on medication</t>
  </si>
  <si>
    <t>Currently on treatment for diabetes among those with raised blood glucose or currently on medication</t>
  </si>
  <si>
    <t>Diabetes control among those with raised blood glucose or currently on medication</t>
  </si>
  <si>
    <t>Consumption of unrecorded alcohol among current drinkers</t>
  </si>
  <si>
    <t>alc1r:Standard drinks of unrecorded alcohol per day in the past 7 days</t>
  </si>
  <si>
    <t>avg_unrec_per_day</t>
  </si>
  <si>
    <t>Percentage of unrecorded alcohol from all alcohol consumed during past 7 days among current drinkers who drank in the past 7 days</t>
  </si>
  <si>
    <t>data = data %&gt;% rowwise %&gt;%mutate(a7 = ifelse(a5==1 &amp; a6==0 &amp; is.na(a7),0,a7),
  totaldrinkg = ifelse(!is.null(a7),a7,NA),
  drink_level = ifelse(!is.null(totaldrinkg),case_when((c1==1 &amp; totaldrinkg&gt;=6)|(c1==2 &amp; totaldrinkg&gt;=4) ~1,
                                                       (c1==1 &amp; totaldrinkg&gt;=4 &amp; totaldrinkg&lt;6)|(c1==2 &amp; totaldrinkg&gt;=2 &amp; totaldrinkg&lt;4) ~2,
                                                       (c1==1 &amp; totaldrinkg&lt;4)|(c1==2 &amp; totaldrinkg&lt;2) ~3),NA),
  A1cln = ifelse(a1 == 1 | a1 == 2, 1, 2),
  A2cln = ifelse((a1 == 1 &amp; (a2 == 1 | a2 == 2)) | ((a1 == 2 &amp; (is.na(a2) | a2 == 2))), 1, 2),
  A5cln = ifelse((a2 == 1 &amp; (a5 == 1 | a5 == 2)) | ((a2 == 2 &amp; (is.na(a5) | a5 == 2))) | ((a1 == 2 &amp; (is.na(a5) | a5 == 2))), 1, 2),
  A7cln = ifelse(!is.na(a7),1,2),
  a7clnf = ifelse(A1cln == 1 &amp; A2cln == 1 &amp; A5cln == 1 &amp; A7cln==1,1,2),
  a7clnf = replace(a7clnf,(A1cln == 1 &amp; A2cln == 1 &amp; A5cln == 1 &amp; (is.na(a5) | a5==2)),1))</t>
  </si>
  <si>
    <t>data = data %&gt;% rowwise %&gt;%mutate(a8 = ifelse(a5==1 &amp; a6==0 &amp; is.na(a8),0,a8), a9 = as.numeric(a9),a9 = ifelse(a9&gt;30,NA, a9),a9=ifelse(a5==1 &amp; a8&lt;=5 &amp; is.na(a9),0,a9),
         A9cln = ifelse(is.na(a9)|a9&gt;30, 2, 1),
         a9clnf = ifelse(A1cln == 1 &amp; A2cln == 1 &amp; A5cln == 1 &amp; valid==1,1,2),
         a9clnf = replace(a9clnf,(a9clnf==1 &amp; is.na(a5) &amp; a9&gt;0) |(a5==1 &amp; A9cln==2),2))</t>
  </si>
  <si>
    <t>data = data %&gt;% rowwise %&gt;% 
mutate(Allmissing = ifelse((is.na(a10a) | a10a&gt;=77) &amp; (is.na(a10b) | a10b&gt;=77) &amp; (is.na(a10c) | a10c&gt;=77) &amp;
                       (is.na(a10d) | a10d&gt;=77) &amp; (is.na(a10e) | a10e&gt;=77) &amp; (is.na(a10f) | a10f&gt;=77) &amp; 
                       (is.na(a10g) | a10g&gt;=77),1,2),
         a10a = ifelse((Allmissing==2 &amp; (is.na(a10a) | a10a&gt;=77)) | (a5==1 &amp; a6==0 &amp; is.na(a10a)),0,a10a),
         a10b = ifelse((Allmissing==2 &amp; (is.na(a10b) | a10b&gt;=77)) | (a5==1 &amp; a6==0 &amp; is.na(a10b)),0,a10b),
         a10c = ifelse((Allmissing==2 &amp; (is.na(a10c) | a10c&gt;=77)) | (a5==1 &amp; a6==0 &amp; is.na(a10c)),0,a10c),
         a10d = ifelse((Allmissing==2 &amp; (is.na(a10d) | a10d&gt;=77)) | (a5==1 &amp; a6==0 &amp; is.na(a10d)),0,a10d),
         a10e = ifelse((Allmissing==2 &amp; (is.na(a10e) | a10e&gt;=77)) | (a5==1 &amp; a6==0 &amp; is.na(a10e)),0,a10e),
         a10f = ifelse((Allmissing==2 &amp; (is.na(a10f) | a10f&gt;=77)) | (a5==1 &amp; a6==0 &amp; is.na(a10f)),0,a10f),
         a10g = ifelse((Allmissing==2 &amp; (is.na(a10g) | a10g&gt;=77)) | (a5==1 &amp; a6==0 &amp; is.na(a10g)),0,a10g),
		 freq_alcohol = sum(c(a10a&gt;0,a10b&gt;0,a10c&gt;0,a10d&gt;0,a10e&gt;0,a10f&gt;0,a10g&gt;0),na.rm = T),
         freq_alcohol = ifelse(is.na(a10a)&amp;is.na(a10b)&amp;is.na(a10c)&amp;is.na(a10d)&amp;is.na(a10e)&amp;is.na(a10f)&amp; is.na(a10g),NA,freq_alcohol),
         avg_drinks = mean(c(a10a,a10b,a10c,a10d,a10e,a10f,a10g),na.rm = T))</t>
  </si>
  <si>
    <t>avg_unrec_per_day;avg_unrec_cln;percentunrec;past_denom_cln;percentunrec_a;percentunrec_b;percentunrec_c;percentunrec_d;percentunrec_e;type_denom_cln</t>
  </si>
  <si>
    <t>data = data %&gt;% rowwise%&gt;% mutate(
		 weekly_drinks=a10a+a10b+a10c+a10d+a10e+a10f+a10g,
         a11 = as.numeric(a11),
         a11 = ifelse(a5==1 &amp; weekly_drinks==0 &amp; is.na(a11),2,a11),
		 Allmissing_unrec = ifelse(a11==1 &amp; (is.na(a12a) | a12a&gt;=77) &amp; (is.na(a12b) | a12b&gt;=77) &amp; (is.na(a12c) | a12c&gt;=77) &amp; (is.na(a12d) | a12d&gt;=77) &amp; (is.na(a12e) | a12e&gt;=77),1,2),	
         a12a = ifelse((a11=1 &amp; Allmissing_unrec==2 &amp; (is.na(a12a) | a12a&gt;=77)) | (is.na(a12a) &amp; a11==2),0,a12a),
         a12b = ifelse((a11=1 &amp; Allmissing_unrec==2 &amp; (is.na(a12b) | a12b&gt;=77)) | (is.na(a12b) &amp; a11==2),0,a12b),
         a12c = ifelse((a11=1 &amp; Allmissing_unrec==2 &amp; (is.na(a12c) | a12c&gt;=77)) | (is.na(a12c) &amp; a11==2),0,a12c),
         a12d = ifelse((a11=1 &amp; Allmissing_unrec==2 &amp; (is.na(a12d) | a12d&gt;=77)) | (is.na(a12d) &amp; a11==2),0,a12d),
         a12e = ifelse((a11=1 &amp; Allmissing_unrec==2 &amp; (is.na(a12e) | a12e&gt;=77)) | (is.na(a12e) &amp; a11==2),0,a12e),
         past7unrec = 0,
         past7unrec = past7unrec + case_when(a12a &gt;= 0 &amp; a12a &lt;= 50 ~ a12a,TRUE ~ 0),
         past7unrec = past7unrec + case_when(a12b &gt;= 0 &amp; a12b &lt;= 50 ~ a12b,TRUE ~ 0),
         past7unrec = past7unrec + case_when(a12c &gt;= 0 &amp; a12c &lt;= 50 ~ a12c,TRUE ~ 0),
         past7unrec = past7unrec + case_when(a12d &gt;= 0 &amp; a12d &lt;= 50 ~ a12d,TRUE ~ 0),
         past7unrec = past7unrec + case_when(a12e &gt;= 0 &amp; a12e &lt;= 50 ~ a12e,TRUE ~ 0),
         avg_unrec_per_day=past7unrec/7,
         avg_unrec_cln = ifelse(avg_unrec_per_day&gt;=0 &amp; (weekly_drinks&gt;= past7unrec) &amp; valid==1,1,2),
         a10cln = ifelse(a10a&lt;51 &amp; a10b&lt;51 &amp; a10c&lt;51 &amp; a10d&lt;51 &amp; a10e&lt;51 &amp; a10f&lt;51 &amp; a10g&lt;51,1,2),
         past_denom_cln = ifelse((a1==1 &amp; a2==1 &amp; a5==1 &amp; a10cln==1 &amp; valid==1 &amp; weekly_drinks&gt;0),1,2),
         past_denom_cln = ifelse(past7unrec&gt;weekly_drinks &amp; !is.na(past7unrec),2,past_denom_cln),
         percentunrec=100*(past7unrec/weekly_drinks),
		 type_denom_cln = past_denom_cln,
         type_denom_cln = ifelse(past7unrec==0,2,type_denom_cln),
         type_denom_cln = ifelse(a11==2,2,type_denom_cln),
         weekly_type_drinks = 100*(sum(c(a12a,a12b,a12c,a12d,a12e),na.rm = T)/weekly_drinks),
         weekly_type_drinks = ifelse(is.na(a12a)&amp;is.na(a12b)&amp;is.na(a12c)&amp;is.na(a12d)&amp;is.na(a12e),NA,weekly_type_drinks),
         percentunrec_a=a12a/past7unrec,
         percentunrec_b=a12b/past7unrec,
         percentunrec_c=a12c/past7unrec,
         percentunrec_d=a12d/past7unrec,
         percentunrec_e=a12e/past7unrec)</t>
  </si>
  <si>
    <t>Chronic Respiratory Diseases</t>
  </si>
  <si>
    <t>pef_cln</t>
  </si>
  <si>
    <t>m11;pef3max</t>
  </si>
  <si>
    <t>data = data %&gt;% rowwise %&gt;%mutate(m11 = as.numeric(m11),
    pef3max = as.numeric(pef3max),
    pef_cln=ifelse(m11&gt;=100 &amp; m11&lt;=270 &amp; pef3max&gt;=60 &amp; pef3max&lt;=880,1,0))</t>
  </si>
  <si>
    <t>pefresult</t>
  </si>
  <si>
    <t>h3;h8;h9;h14;h18;h19;h20a;h20b;h20c;h20d;h20e;h20f</t>
  </si>
  <si>
    <t>1. Percentage with insufficient physical activity (defined as &lt; 150 minutes of moderate-intensity activity per week, or equivalent)$</t>
  </si>
  <si>
    <t>1.Percentage aged 40-69 years with a 10-year CVD risk ≥ 20%, or with existing CVD$$</t>
  </si>
  <si>
    <t>C8==4;C8==5;C8==6;C8==7;C8==8</t>
  </si>
  <si>
    <t>C8==4 | C8==5 | C8==6 | C8==7 | C8==8;C8==4 | C8==5 | C8==6 | C8==7 | C8==8;C8==4 | C8==5 | C8==6 | C8==7 | C8==8;C8==4 | C8==5 | C8==6 | C8==7 | C8==8;C8==4 | C8==5 | C8==6 | C8==7 | C8==8</t>
  </si>
  <si>
    <t>T1==1</t>
  </si>
  <si>
    <t>T1==1 &amp; T2==1;T1==1 &amp; T2==2;T1==2 &amp; T8==1;T8==2</t>
  </si>
  <si>
    <t>T1==1 &amp; T2==1</t>
  </si>
  <si>
    <t>T1==1 &amp; T2==1 &amp; (!is.na(T5a) | !is.na(T5aw))</t>
  </si>
  <si>
    <t>T1==1&amp; (!is.na(T5a) | !is.na(T5aw))</t>
  </si>
  <si>
    <t>T1==1 &amp; T2==1;T1==1 &amp; T2==1;T1==1 &amp; T2==1;T1==1 &amp; T2==1;T1==1 &amp; T2==1;T1==1 &amp; T2==1</t>
  </si>
  <si>
    <t>T1==1 &amp; (!is.na(T5a) | !is.na(T5aw)) ;T1==1 &amp; (!is.na(T5b) | !is.na(T5bw));T1==1 &amp; (!is.na(T5c) | !is.na(T5cw));T1==1 &amp; (!is.na(T5d) | !is.na(T5dw));T1==1 &amp; (!is.na(T5e) | !is.na(T5ew));T1==1 &amp; (!is.na(T5f) | !is.na(T5fw))</t>
  </si>
  <si>
    <t>T1==1 &amp; T2==1 &amp; total_cig &gt;0 &amp; !(T5a&gt;50 | is.na(T5a) | T5b&gt;50 | is.na(T5b));T1==1 &amp; T2==1 &amp; total_cig &gt;0 &amp; !(T5a&gt;50 | is.na(T5a) | T5b&gt;50 | is.na(T5b));T1==1 &amp; T2==1 &amp; total_cig &gt;0 &amp; !(T5a&gt;50 | is.na(T5a) | T5b&gt;50 | is.na(T5b));T1==1 &amp; T2==1 &amp; total_cig &gt;0 &amp; !(T5a&gt;50 | is.na(T5a) | T5b&gt;50 | is.na(T5b));T1==1 &amp; T2==1 &amp; total_cig &gt;0 &amp; !(T5a&gt;50 | is.na(T5a) | T5b&gt;50 | is.na(T5b))</t>
  </si>
  <si>
    <t>T9==1</t>
  </si>
  <si>
    <t xml:space="preserve">T9==1 </t>
  </si>
  <si>
    <t>T9==1 | T2==1</t>
  </si>
  <si>
    <t>T1==2</t>
  </si>
  <si>
    <t>T6==1</t>
  </si>
  <si>
    <t>T7==1</t>
  </si>
  <si>
    <t>T1==1 &amp; (T7==1 | T7==2)</t>
  </si>
  <si>
    <t>T12==1</t>
  </si>
  <si>
    <t>T13==1 &amp; T12==1;T13==2 &amp; T12==1;T12==2 &amp; T15==1;T15==2</t>
  </si>
  <si>
    <t xml:space="preserve">T16==1 </t>
  </si>
  <si>
    <t>T16==1 | T13==1</t>
  </si>
  <si>
    <t>T1==1 | T12==1</t>
  </si>
  <si>
    <t>(T1==1 &amp; T2==1) | (T12==1 &amp; T13==1)</t>
  </si>
  <si>
    <t>(T1==1&amp;T2==1)|(T13==1&amp;T12==1); (T1==1&amp;T2==2)|(T12==1&amp;T13==2); T1==2&amp;T12==2&amp;(T8==1|T15==1); T8==2&amp;T15==2</t>
  </si>
  <si>
    <t>T17==1</t>
  </si>
  <si>
    <t>T18==1</t>
  </si>
  <si>
    <t>T18==1 | T18 == 2</t>
  </si>
  <si>
    <t>A5==1;A2==1 &amp; A5==2;A1==1 &amp; A2==2;A1==2</t>
  </si>
  <si>
    <t>A3==1</t>
  </si>
  <si>
    <t>A1==1 &amp; A2==2</t>
  </si>
  <si>
    <t>A4==1;A4==2;A4==3;A4==4;A4==5;A4==6</t>
  </si>
  <si>
    <t xml:space="preserve">A2==1;A2==1;A2==1;A2==1;A2==1;A2==1 </t>
  </si>
  <si>
    <t xml:space="preserve">A5==1 </t>
  </si>
  <si>
    <t xml:space="preserve">drink_level==1 </t>
  </si>
  <si>
    <t>a7clnf==1</t>
  </si>
  <si>
    <t xml:space="preserve">drink_level==2 </t>
  </si>
  <si>
    <t xml:space="preserve">drink_level==3 </t>
  </si>
  <si>
    <t>drink_level==1</t>
  </si>
  <si>
    <t>drink_level==1 | drink_level==2 | drink_level==3</t>
  </si>
  <si>
    <t>drink_level==2</t>
  </si>
  <si>
    <t>drink_level==3</t>
  </si>
  <si>
    <t>A5==1</t>
  </si>
  <si>
    <t>(a1==2 | a2==2 | a5==2 | (a5==1 &amp; !is.na(a9)))</t>
  </si>
  <si>
    <t>A5==1 &amp; !is.na(freq_alcohol);A5==1 &amp; !is.na(freq_alcohol);A5==1 &amp; !is.na(freq_alcohol);A5==1 &amp; !is.na(freq_alcohol);A5==1 &amp; !is.na(freq_alcohol)</t>
  </si>
  <si>
    <t xml:space="preserve">A11==1 </t>
  </si>
  <si>
    <t>avg_unrec_cln==1</t>
  </si>
  <si>
    <t>past_denom_cln==1</t>
  </si>
  <si>
    <t>type_denom_cln==1;type_denom_cln==1;type_denom_cln==1;type_denom_cln==1;type_denom_cln==1</t>
  </si>
  <si>
    <t>A13==1 | A13 == 2 | A13 ==3; A13==4;A13==5</t>
  </si>
  <si>
    <t>A2==1;A2==1;A2==1</t>
  </si>
  <si>
    <t>A14==1 | A14 == 2 | A14 ==3; A14==4;A14==5</t>
  </si>
  <si>
    <t>A15==1 | A15 == 2 | A15 ==3; A15==4;A15==5</t>
  </si>
  <si>
    <t>A16==1 | A16 == 2;A16 ==3 | A16==4;A16==5</t>
  </si>
  <si>
    <t>freq_veg_fruit==1;freq_veg_fruit==2;freq_veg_fruit==3;freq_veg_fruit==4</t>
  </si>
  <si>
    <t>freq_veg_fruit==1 | freq_veg_fruit==2 | freq_veg_fruit==3</t>
  </si>
  <si>
    <t>D5==1 | D5==2</t>
  </si>
  <si>
    <t>!(D5==77)</t>
  </si>
  <si>
    <t>D6==1 | D6==2</t>
  </si>
  <si>
    <t>!(D6==77)</t>
  </si>
  <si>
    <t>D7==1 | D7==2</t>
  </si>
  <si>
    <t>!(D7==77)</t>
  </si>
  <si>
    <t>D8==1 | D8==2</t>
  </si>
  <si>
    <t>!(D8==77)</t>
  </si>
  <si>
    <t>D8==1;D8==2;D8==3;D8==4;D8==5</t>
  </si>
  <si>
    <t>!(D8==77);!(D8==77);!(D8==77);!(D8==77);!(D8==77)</t>
  </si>
  <si>
    <t>D9==1;D9==2;D9==3</t>
  </si>
  <si>
    <t>!(D9==77);!(D9==77);!(D9==77)</t>
  </si>
  <si>
    <t>D10==1</t>
  </si>
  <si>
    <t>D11a==1</t>
  </si>
  <si>
    <t>D11b==1</t>
  </si>
  <si>
    <t>D11c==1</t>
  </si>
  <si>
    <t>D11d==1</t>
  </si>
  <si>
    <t>D11e==1</t>
  </si>
  <si>
    <t>D11f==1</t>
  </si>
  <si>
    <t>na_cln==1</t>
  </si>
  <si>
    <t>na_cln_kaw ==1</t>
  </si>
  <si>
    <t>na_cln_tan==1</t>
  </si>
  <si>
    <t>na_cln_mag==1</t>
  </si>
  <si>
    <t>na_cln_tof==1</t>
  </si>
  <si>
    <t>na_cln_adj==1</t>
  </si>
  <si>
    <t>na_cln_kaw_adj ==1</t>
  </si>
  <si>
    <t>na_cln_tan_adj==1</t>
  </si>
  <si>
    <t>na_cln_mag_adj==1</t>
  </si>
  <si>
    <t>na_cln_tof_adj==1</t>
  </si>
  <si>
    <t>pnotmeetwho==1</t>
  </si>
  <si>
    <t>pa_valid==1</t>
  </si>
  <si>
    <t>p_levels==3;p_levels==2;p_levels==1</t>
  </si>
  <si>
    <t>pa_valid==1;pa_valid==1;pa_valid==1</t>
  </si>
  <si>
    <t>P1==2 &amp; P4==2</t>
  </si>
  <si>
    <t>P7==2</t>
  </si>
  <si>
    <t>P10==2 &amp; P13==2</t>
  </si>
  <si>
    <t>P1==2 &amp; P10==2</t>
  </si>
  <si>
    <t>p16cln==1</t>
  </si>
  <si>
    <t>H1==2;H2a==2;H2a==1 &amp; H2b==2;H2b==1</t>
  </si>
  <si>
    <t>H3==1</t>
  </si>
  <si>
    <t>H2a==1</t>
  </si>
  <si>
    <t>H4==1</t>
  </si>
  <si>
    <t>H5==1</t>
  </si>
  <si>
    <t>H6==2;H7a==2;H7a==1 &amp; H7b==2;H7b==1</t>
  </si>
  <si>
    <t>H8==1</t>
  </si>
  <si>
    <t>H7a==1</t>
  </si>
  <si>
    <t>H9==1</t>
  </si>
  <si>
    <t>H10==1</t>
  </si>
  <si>
    <t>H11==1</t>
  </si>
  <si>
    <t>H12==2;H13a==2;H13a==1 &amp; H13b==2;H13b==1</t>
  </si>
  <si>
    <t>H14==1</t>
  </si>
  <si>
    <t>H13a==1</t>
  </si>
  <si>
    <t>H15==1</t>
  </si>
  <si>
    <t>H16==1</t>
  </si>
  <si>
    <t>H17==1</t>
  </si>
  <si>
    <t>H18==1</t>
  </si>
  <si>
    <t>H19==1</t>
  </si>
  <si>
    <t>H20a==1</t>
  </si>
  <si>
    <t>H20b==1</t>
  </si>
  <si>
    <t>H20c==1</t>
  </si>
  <si>
    <t>H20d==1</t>
  </si>
  <si>
    <t>H20e==1</t>
  </si>
  <si>
    <t>H20f==1</t>
  </si>
  <si>
    <t>H20g==1</t>
  </si>
  <si>
    <t>CX1==1</t>
  </si>
  <si>
    <t>(cx1==1 | cx1==2)</t>
  </si>
  <si>
    <t>cx1==1</t>
  </si>
  <si>
    <t>cx3==1;cx3==2;cx3==3;cx3==4</t>
  </si>
  <si>
    <t>cx1==1;cx1==1;cx1==1;cx1==1</t>
  </si>
  <si>
    <t>cx4==1;cx4==2;cx4==3;cx4==4;cx4==5;cx4==6</t>
  </si>
  <si>
    <t>cx1==1;cx1==1;cx1==1;cx1==1;cx1==1;cx1==1</t>
  </si>
  <si>
    <t>cx5==1;cx5==2;cx5==3;cx5==4;cx5==5</t>
  </si>
  <si>
    <t>cx1==1;cx1==1;cx1==1;cx1==1;cx1==1</t>
  </si>
  <si>
    <t>cx6==1;cx6==2;cx6==3;cx6==4;cx6==5</t>
  </si>
  <si>
    <t>cx7==1</t>
  </si>
  <si>
    <t>cx6==3 | cx6==4</t>
  </si>
  <si>
    <t>cx8==1</t>
  </si>
  <si>
    <t>cx11==1;cx11==2;cx11==3;cx11==4;cx11==5;cx11==6;cx11==7;cx11==8;cx11==9;cx11==10</t>
  </si>
  <si>
    <t>crd1==1 | crd3==1</t>
  </si>
  <si>
    <t>crd2==1 | crd4==1</t>
  </si>
  <si>
    <t>crd6==1;crd10==1;crd12==1</t>
  </si>
  <si>
    <t>!is.na(crd6) &amp; !(crd1==1) &amp; !(crd3==1); !is.na(crd10) &amp; !(crd1==1) &amp; !(crd3==1); !is.na(crd12) &amp; !(crd1==1) &amp; !(crd3==1)</t>
  </si>
  <si>
    <t>!is.na(crd6) &amp; (crd1==1 | crd3==1); !is.na(crd10) &amp;  (crd1==1 | crd3==1); !is.na(crd12) &amp;  (crd1==1 | crd3==1)</t>
  </si>
  <si>
    <t>crd7==2 | crd8==2 | crd9==1</t>
  </si>
  <si>
    <t>crd1==2 &amp; crd3==2</t>
  </si>
  <si>
    <t>crd13==1</t>
  </si>
  <si>
    <t>crd6==1 | crd10==1 | crd12==1</t>
  </si>
  <si>
    <t>crd14==1</t>
  </si>
  <si>
    <t>(crd1==1 | crd3==1 | crd6==1 | crd10==1 | crd12==1) &amp; pef_cln==1</t>
  </si>
  <si>
    <t>o1==1;o1==2;o1==3;o1==4;o1==5</t>
  </si>
  <si>
    <t>o2x1==1;o2x2==1;o2x3==1;o2x4==1;o2x5==1;o2x7==1</t>
  </si>
  <si>
    <t>o3==2</t>
  </si>
  <si>
    <t>o4x1==1;o4x2==1;o4x3==1;o4x4==1;o4x5==1;o4x6==1;o4x7==1;o4x8==1</t>
  </si>
  <si>
    <t>o5==1;o5==2;o5==3;o5==4</t>
  </si>
  <si>
    <t>o6==1;o6==2;o6==3;o6==4</t>
  </si>
  <si>
    <t>o7==1</t>
  </si>
  <si>
    <t>o8==1</t>
  </si>
  <si>
    <t>o9==1</t>
  </si>
  <si>
    <t>deprepisode==1</t>
  </si>
  <si>
    <t>deprepisode==1 | deprepisode==2</t>
  </si>
  <si>
    <t>mh14==1;mh14==2;mh14==3</t>
  </si>
  <si>
    <t>mh14==1 | mh14==2</t>
  </si>
  <si>
    <t>mh15==1;mh15==2;mh15==3</t>
  </si>
  <si>
    <t>mh15==1 | mh15==2</t>
  </si>
  <si>
    <t>mhs1==1</t>
  </si>
  <si>
    <t>mhs1==1 | mhs1==2</t>
  </si>
  <si>
    <t>mhs2==1</t>
  </si>
  <si>
    <t>mhs2==1 | mhs2==2</t>
  </si>
  <si>
    <t>mhs3==1</t>
  </si>
  <si>
    <t>mhs3==1 | mhs3==2</t>
  </si>
  <si>
    <t>mhs4==1</t>
  </si>
  <si>
    <t>mhs4==1 | mhs4==2</t>
  </si>
  <si>
    <t>mhs5==1</t>
  </si>
  <si>
    <t>mhs5==1 | mhs5==2</t>
  </si>
  <si>
    <t>mhs7==1</t>
  </si>
  <si>
    <t>mhs7==1 | mhs7==2</t>
  </si>
  <si>
    <t>v1==1;v1==2;v1==3;v1==4;v1==5</t>
  </si>
  <si>
    <t>v2==1;v2==2;v2==3;v2==4;v2==5</t>
  </si>
  <si>
    <t>v3==1;v3==2;v3==3;v3==4</t>
  </si>
  <si>
    <t>v4==1</t>
  </si>
  <si>
    <t>v5==1</t>
  </si>
  <si>
    <t>v6==1;v6==2;v6==3;v6==4;v6==5;v6==6;v6==7</t>
  </si>
  <si>
    <t>v7==1;v7==2;v7==3;v7==4;v7==5;v7==6;v7==7</t>
  </si>
  <si>
    <t>v11==1;v11==2;v11==3;v11==4</t>
  </si>
  <si>
    <t>v12==1;v12==2;v12==3</t>
  </si>
  <si>
    <t>v13==1;v13==2;v13==3;v13==4;v13==5;v13==6;v13==7;v13==8</t>
  </si>
  <si>
    <t>v17==1</t>
  </si>
  <si>
    <t>v18==1;v18==2;v18==3;v18==4;v18==5;v18==6;v18==7;v18==8</t>
  </si>
  <si>
    <t>v19==1;v19==2;v19==3;v19==4</t>
  </si>
  <si>
    <t>cln_bp==1</t>
  </si>
  <si>
    <t>(raisedsbp==3) | ( raiseddbp==3)</t>
  </si>
  <si>
    <t>raisedbp_140_90_meds==1</t>
  </si>
  <si>
    <t>raisedbp_160_100_meds==1</t>
  </si>
  <si>
    <t>h2a==1</t>
  </si>
  <si>
    <t>bp_treatment==1</t>
  </si>
  <si>
    <t>raisedsbp==1 &amp; raiseddbp==1</t>
  </si>
  <si>
    <t>clnheartrate==1</t>
  </si>
  <si>
    <t>bmicln==1</t>
  </si>
  <si>
    <t>bmi_cat==1;bmi_cat==2;bmi_cat==3;bmi_cat==4</t>
  </si>
  <si>
    <t>bmicln==1;bmicln==1;bmicln==1;bmicln==1</t>
  </si>
  <si>
    <t>cln_gluc==1</t>
  </si>
  <si>
    <t>blood_gluclass==2</t>
  </si>
  <si>
    <t>blood_gluclass==3 | diabtr==1</t>
  </si>
  <si>
    <t xml:space="preserve">cln_gluc==1 </t>
  </si>
  <si>
    <t>diagn == 2 | diagn == 3</t>
  </si>
  <si>
    <t>raisedbg_or_meds==1</t>
  </si>
  <si>
    <t>diabtr==1</t>
  </si>
  <si>
    <t>blood_gluclass==1 | blood_gluclass==2</t>
  </si>
  <si>
    <t>raisedbg_or_meds==1 &amp; cln_bp==1</t>
  </si>
  <si>
    <t>cln_b8==1</t>
  </si>
  <si>
    <t>h13a==1</t>
  </si>
  <si>
    <t>raised_chol_or_meds==1</t>
  </si>
  <si>
    <t>chol_trmt==1</t>
  </si>
  <si>
    <t>!is.na(b16) &amp; b1==2</t>
  </si>
  <si>
    <t>!is.na(b16mg) &amp; b1==2</t>
  </si>
  <si>
    <t>drugcouns==1</t>
  </si>
  <si>
    <t>rrcln==1;rrcln==1;rrcln==1</t>
  </si>
  <si>
    <t>freq_alcohol==7;freq_alcohol&gt;=5 &amp; freq_alcohol&lt;=6;freq_alcohol&gt;=3 &amp; freq_alcohol&lt;=4;freq_alcohol&gt;=1 &amp; freq_alcohol&lt;=2;freq_alcohol==0</t>
  </si>
  <si>
    <t>(Age&gt;=30 &amp; Age&lt;=49) &amp;  (cx1==1 | cx1==2)</t>
  </si>
  <si>
    <t>B8&gt;=5 | chol_trmt==1</t>
  </si>
  <si>
    <t>B8&gt;=6.2  |  chol_trmt==1</t>
  </si>
  <si>
    <t>H17==1 | (calib_risk&gt;=20)</t>
  </si>
  <si>
    <t>(H17==1 | (calib_risk&gt;=20)) &amp; ((age&gt;=40 &amp; age &lt;70 &amp; !is.na(calib_risk)) )</t>
  </si>
  <si>
    <t>rr==0;rr&gt;=1 &amp; rr&lt;=2;rr&gt;=3 &amp; rr&lt;=5</t>
  </si>
  <si>
    <t>o2 != 6</t>
  </si>
  <si>
    <t>Percentage of the population who received lifestyle advice from a doctor or health worker during the past 12 months among the total population</t>
  </si>
  <si>
    <t>H20. During the past 12 months, have you visited a doctor or other health worker?
H21a-f: During any of your visits to a doctor or other health worker in the past 12 months, were you advised to do any of the following?</t>
  </si>
  <si>
    <t>Lifestyle Advice</t>
  </si>
  <si>
    <t>h20;h20a;h20b;h20c;h20d;h20e;h20f;h20g</t>
  </si>
  <si>
    <t>data = data %&gt;% rowwise %&gt;%mutate(
    h20a=ifelse(h20==2,2,h20a),
    h20b=ifelse(h20==2,2,h20b),
    h20c=ifelse(h20==2,2,h20c),
    h20d=ifelse(h20==2,2,h20d),
    h20e=ifelse(h20==2,2,h20e),
    h20f=ifelse(h20==2,2,h20f),
    h20g=ifelse(h20==2,2,h20g))</t>
  </si>
  <si>
    <t>Percentage of the population who have ever had a heart attack or chest pain from heart disease (angina) or a stroke among the total population</t>
  </si>
  <si>
    <t>Mean blood pressure among the total population, including those currently on medication for raised blood pressure</t>
  </si>
  <si>
    <t>Mean height, weight, and body mass index among the total population (excluding pregnant women)</t>
  </si>
  <si>
    <t>Mean waist circumference among the total population (excluding pregnant women)</t>
  </si>
  <si>
    <t>Mean hip circumference among the total population (excluding pregnant women)</t>
  </si>
  <si>
    <t>Mean waist-to-hip ratio among the total population (excluding pregnant women)</t>
  </si>
  <si>
    <t>Mean total cholesterol among the total population including those currently on medication for raised cholesterol</t>
  </si>
  <si>
    <t>Current cigarette smokers among the total population</t>
  </si>
  <si>
    <t>Alcohol consumption status of the total population</t>
  </si>
  <si>
    <t>Drinking at high-end level among the total population (≥60g of pure alcohol on average per occasion among men and ≥40g of pure alcohol on average per occasion among women)</t>
  </si>
  <si>
    <t>Drinking at intermediate level among the total population (40-59.9g of pure alcohol on average per occasion among men and 20-39.9g of pure alcohol on average per occasion among women)</t>
  </si>
  <si>
    <t>Drinking at lower-end level among the total population (&lt;40g of pure alcohol on average per occasion among men and &lt;20g of pure alcohol on average per occasion among women)</t>
  </si>
  <si>
    <t>Frequency of having had problems with family or partner due to someone else’s drinking in the past 12 months among the total population</t>
  </si>
  <si>
    <t>Mean intake of salt in grams per day among the total population</t>
  </si>
  <si>
    <t>Mean intake of salt in grams per day among the total population (adjusted by 10%)</t>
  </si>
  <si>
    <t>Former daily smokers among the total population</t>
  </si>
  <si>
    <t>Frequency of family/partner problems due to someone else’s drinking during the past 12 months among the total population</t>
  </si>
  <si>
    <t>deprepisode==1 &amp; mh14!=77 &amp; mh14!=88; deprepisode==1 &amp; mh14!=77 &amp; mh14!=88; deprepisode==1 &amp; mh14!=77 &amp; mh14!=88</t>
  </si>
  <si>
    <t>deprepisode==1 &amp; mh14!=77 &amp; mh14!=88</t>
  </si>
  <si>
    <t>deprepisode==1 &amp; mh15!=77 &amp; mh15!=88; deprepisode==1 &amp; mh15!=77 &amp; mh15!=88; deprepisode==1 &amp; mh15!=77 &amp; mh15!=88</t>
  </si>
  <si>
    <t>deprepisode==1 &amp; mh15!=77 &amp; mh15!=88</t>
  </si>
  <si>
    <t>A5==1 &amp; !is.na(a9)</t>
  </si>
  <si>
    <t>Other</t>
  </si>
  <si>
    <t>agerange1;agerange2;agerange3;sex_age;bin_age</t>
  </si>
  <si>
    <t>age;sex</t>
  </si>
  <si>
    <t>data = data %&gt;%
        mutate(svy_year = survey_year,
               agerange1 = case_when(age&gt;=30 &amp; age &lt;50 ~1),
               agerange1 = factor(agerange1,levels=1, labels=c('30-49')),
               agerange2 = case_when(age&gt;=40 &amp; age &lt;55 ~1,age&gt;=55 &amp; age &lt;70 ~2),
               agerange2 = factor(agerange2,levels=1:2, labels=c('40-54','55-69')),
               agerange3 = case_when(age&gt;=18 &amp; age &lt;45 ~1,age&gt;=45 &amp; age &lt;70 ~2),
               agerange3 = factor(agerange3,levels=1:2, labels=c('18-44','45-69')),
               sex_age = case_when(sex == 'Men' &amp; (age&gt;=15 &amp; age &lt; 45) ~ 1,
                                   sex == 'Men' &amp; (age&gt;=45 &amp; age &lt; 70) ~ 2,
                                   sex == 'Women' &amp; (age&gt;=15 &amp; age &lt; 45) ~ 3,
                                   sex == 'Women' &amp; (age&gt;=45 &amp; age &lt; 70) ~ 4),
               sex_age = factor(sex_age, levels = 1:4, 
                                labels = c('Men 15 - 44','Men 45 - 69','Women 15 - 44','Women 45 - 69')),
               bin_age = case_when(age&gt;=18 &amp; age &lt; 45 ~ 1,age&gt;=45 &amp; age &lt; 70 ~ 2),
               bin_age = factor(bin_age,levels = 1:2, labels = c('18-44','45-69')))</t>
  </si>
  <si>
    <t>data &lt;- data %&gt;%
  mutate(screenpos = ifelse(mh1 == 1 | mh2 == 1, 1, 2)) %&gt;%
  mutate(mh6 = ifelse(mh5 == 1, NA, mh6)) %&gt;%
  rowwise() %&gt;%
  mutate(symptomcount = sum(c_across(c(mh1, mh2, mh4, mh5, mh6, mh7, mh8, mh9, mh10, mh11, mh12)) == 1, na.rm = TRUE)) %&gt;%
  ungroup() %&gt;%
  mutate(deprepisode = 2) %&gt;%
  mutate(deprepisode = ifelse(screenpos==1 &amp; symptomcount &gt;= 5 &amp; symptomcount &lt;= 10 &amp; mh13&lt;4, 1, deprepisode)) %&gt;%
  mutate(deprepisode = ifelse(replace_na(mh1 == 88, TRUE) |
    replace_na(mh2 == 88, TRUE) | (screenpos==1 &amp; (
    replace_na(mh4 == 88, TRUE) |
    replace_na(mh5 == 88, TRUE) |
    replace_na(mh5 == 2 &amp; mh6 == 88, TRUE) |
    replace_na(mh7 == 88, TRUE) |
    replace_na(mh8 == 88, TRUE) |
    replace_na(mh9 == 88, TRUE) |
    replace_na(mh10 == 88, TRUE) |
    replace_na(mh11 == 88, TRUE) |
    replace_na(mh12 == 88, TRUE)) | (screenpos==1 &amp; symptomcount&gt;=5 &amp; 
    replace_na(mh13 == 88, TRUE))),
    NA,
    deprepisode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</si>
</sst>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2"/>
      <color theme="1"/>
      <name val="Calibri"/>
      <family val="2"/>
      <scheme val="minor"/>
    </font>
    <font>
      <sz val="8"/>
      <name val="Calibri"/>
      <family val="2"/>
    </font>
    <font>
      <b/>
      <sz val="12"/>
      <color theme="1"/>
      <name val="Noto Sans"/>
      <family val="2"/>
    </font>
    <font>
      <sz val="12"/>
      <color theme="1"/>
      <name val="Noto Sans"/>
      <family val="2"/>
    </font>
    <font>
      <sz val="12"/>
      <color theme="5"/>
      <name val="Noto Sans"/>
      <family val="2"/>
    </font>
    <font>
      <sz val="12"/>
      <name val="Noto Sans"/>
      <family val="2"/>
    </font>
    <font>
      <sz val="12"/>
      <color rgb="FF000000"/>
      <name val="Noto Sans"/>
      <family val="2"/>
    </font>
    <font>
      <sz val="12"/>
      <color rgb="FFFF0000"/>
      <name val="Noto Sans"/>
      <family val="2"/>
    </font>
    <font>
      <b/>
      <sz val="9"/>
      <color rgb="FF000000"/>
      <name val="Noto Sans"/>
      <family val="2"/>
    </font>
    <font>
      <sz val="9"/>
      <color theme="1"/>
      <name val="Noto Sans"/>
      <family val="2"/>
    </font>
    <font>
      <sz val="9"/>
      <color rgb="FF000000"/>
      <name val="Noto Sans"/>
      <family val="2"/>
    </font>
    <font>
      <b/>
      <sz val="12"/>
      <name val="Source Sans Pro"/>
      <family val="2"/>
    </font>
    <font>
      <sz val="12"/>
      <name val="Source Sans Pro"/>
      <family val="2"/>
    </font>
    <font>
      <sz val="12"/>
      <color theme="1"/>
      <name val="Source Sans Pro"/>
      <family val="2"/>
    </font>
    <font>
      <sz val="10"/>
      <name val="Source Sans Pro"/>
      <family val="2"/>
    </font>
    <font>
      <sz val="10"/>
      <color rgb="FFFF0000"/>
      <name val="Source Sans Pro"/>
      <family val="2"/>
    </font>
    <font>
      <sz val="12"/>
      <color rgb="FFFF0000"/>
      <name val="Source Sans Pro"/>
      <family val="2"/>
    </font>
    <font>
      <i/>
      <sz val="12"/>
      <name val="Source Sans Pro"/>
      <family val="2"/>
    </font>
    <font>
      <sz val="10"/>
      <color rgb="FF7030A0"/>
      <name val="Source Sans Pro"/>
      <family val="2"/>
    </font>
    <font>
      <sz val="12"/>
      <name val="Aptos Narrow"/>
      <family val="2"/>
    </font>
    <font>
      <sz val="10"/>
      <color theme="1"/>
      <name val="Source Sans Pro"/>
      <family val="2"/>
    </font>
  </fonts>
  <fills count="16">
    <fill>
      <patternFill patternType="none"/>
    </fill>
    <fill>
      <patternFill patternType="gray125"/>
    </fill>
    <fill>
      <patternFill patternType="solid">
        <fgColor rgb="FFFFFF00"/>
        <bgColor indexed="64"/>
      </patternFill>
    </fill>
    <fill>
      <patternFill patternType="solid">
        <fgColor rgb="FFDAC2EC"/>
        <bgColor indexed="64"/>
      </patternFill>
    </fill>
    <fill>
      <patternFill patternType="solid">
        <fgColor theme="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rgb="FF92D050"/>
        <bgColor indexed="64"/>
      </patternFill>
    </fill>
    <fill>
      <patternFill patternType="solid">
        <fgColor theme="9"/>
        <bgColor indexed="64"/>
      </patternFill>
    </fill>
    <fill>
      <patternFill patternType="solid">
        <fgColor rgb="FFFFC000"/>
        <bgColor indexed="64"/>
      </patternFill>
    </fill>
    <fill>
      <patternFill patternType="solid">
        <fgColor theme="7"/>
        <bgColor indexed="64"/>
      </patternFill>
    </fill>
    <fill>
      <patternFill patternType="solid">
        <fgColor theme="0" tint="-0.14999847407452621"/>
        <bgColor indexed="64"/>
      </patternFill>
    </fill>
    <fill>
      <patternFill patternType="solid">
        <fgColor rgb="FF00B0F0"/>
        <bgColor indexed="64"/>
      </patternFill>
    </fill>
    <fill>
      <patternFill patternType="solid">
        <fgColor rgb="FFF19485"/>
        <bgColor indexed="64"/>
      </patternFill>
    </fill>
  </fills>
  <borders count="1">
    <border>
      <left/>
      <right/>
      <top/>
      <bottom/>
      <diagonal/>
    </border>
  </borders>
  <cellStyleXfs count="1">
    <xf numFmtId="0" fontId="0" fillId="0" borderId="0"/>
  </cellStyleXfs>
  <cellXfs count="69">
    <xf numFmtId="0" fontId="0" fillId="0" borderId="0" xfId="0"/>
    <xf numFmtId="0" fontId="2" fillId="6" borderId="0" xfId="0" applyFont="1" applyFill="1" applyAlignment="1">
      <alignment horizontal="left" vertical="top"/>
    </xf>
    <xf numFmtId="0" fontId="3" fillId="0" borderId="0" xfId="0" applyFont="1" applyAlignment="1">
      <alignment horizontal="left" vertical="top"/>
    </xf>
    <xf numFmtId="0" fontId="4" fillId="0" borderId="0" xfId="0" applyFont="1" applyAlignment="1">
      <alignment horizontal="left" vertical="top" wrapText="1"/>
    </xf>
    <xf numFmtId="0" fontId="5" fillId="0" borderId="0" xfId="0" applyFont="1" applyAlignment="1">
      <alignment horizontal="left" vertical="top"/>
    </xf>
    <xf numFmtId="0" fontId="3" fillId="0" borderId="0" xfId="0" applyFont="1" applyAlignment="1">
      <alignment horizontal="left" vertical="top" wrapText="1"/>
    </xf>
    <xf numFmtId="0" fontId="4" fillId="0" borderId="0" xfId="0" applyFont="1" applyAlignment="1">
      <alignment horizontal="left" vertical="top"/>
    </xf>
    <xf numFmtId="0" fontId="6" fillId="0" borderId="0" xfId="0" applyFont="1" applyAlignment="1">
      <alignment horizontal="left" vertical="top"/>
    </xf>
    <xf numFmtId="0" fontId="6" fillId="0" borderId="0" xfId="0" applyFont="1" applyAlignment="1">
      <alignment horizontal="left" vertical="top" wrapText="1"/>
    </xf>
    <xf numFmtId="0" fontId="7" fillId="0" borderId="0" xfId="0" applyFont="1" applyAlignment="1">
      <alignment horizontal="left" vertical="top"/>
    </xf>
    <xf numFmtId="0" fontId="6" fillId="5" borderId="0" xfId="0" applyFont="1" applyFill="1" applyAlignment="1">
      <alignment horizontal="left" vertical="top" wrapText="1"/>
    </xf>
    <xf numFmtId="0" fontId="3" fillId="5" borderId="0" xfId="0" applyFont="1" applyFill="1" applyAlignment="1">
      <alignment horizontal="left" vertical="top"/>
    </xf>
    <xf numFmtId="0" fontId="3" fillId="5" borderId="0" xfId="0" applyFont="1" applyFill="1" applyAlignment="1">
      <alignment horizontal="left" vertical="top" wrapText="1"/>
    </xf>
    <xf numFmtId="0" fontId="5" fillId="5" borderId="0" xfId="0" applyFont="1" applyFill="1" applyAlignment="1">
      <alignment horizontal="left" vertical="top"/>
    </xf>
    <xf numFmtId="0" fontId="3" fillId="9" borderId="0" xfId="0" applyFont="1" applyFill="1" applyAlignment="1">
      <alignment horizontal="left" vertical="top"/>
    </xf>
    <xf numFmtId="0" fontId="3" fillId="9" borderId="0" xfId="0" applyFont="1" applyFill="1" applyAlignment="1">
      <alignment horizontal="left" vertical="top" wrapText="1"/>
    </xf>
    <xf numFmtId="0" fontId="5" fillId="0" borderId="0" xfId="0" applyFont="1" applyAlignment="1">
      <alignment horizontal="left" vertical="top" wrapText="1"/>
    </xf>
    <xf numFmtId="0" fontId="8" fillId="8" borderId="0" xfId="0" applyFont="1" applyFill="1"/>
    <xf numFmtId="0" fontId="8" fillId="8" borderId="0" xfId="0" applyFont="1" applyFill="1" applyAlignment="1">
      <alignment horizontal="right"/>
    </xf>
    <xf numFmtId="0" fontId="9" fillId="0" borderId="0" xfId="0" applyFont="1"/>
    <xf numFmtId="0" fontId="10" fillId="0" borderId="0" xfId="0" applyFont="1"/>
    <xf numFmtId="0" fontId="10" fillId="0" borderId="0" xfId="0" applyFont="1" applyAlignment="1">
      <alignment horizontal="right"/>
    </xf>
    <xf numFmtId="0" fontId="9" fillId="0" borderId="0" xfId="0" applyFont="1" applyAlignment="1">
      <alignment horizontal="right"/>
    </xf>
    <xf numFmtId="0" fontId="11" fillId="7" borderId="0" xfId="0" applyFont="1" applyFill="1" applyAlignment="1">
      <alignment horizontal="left" vertical="center"/>
    </xf>
    <xf numFmtId="0" fontId="11" fillId="7" borderId="0" xfId="0" applyFont="1" applyFill="1" applyAlignment="1">
      <alignment horizontal="left" vertical="top"/>
    </xf>
    <xf numFmtId="0" fontId="11" fillId="0" borderId="0" xfId="0" applyFont="1" applyAlignment="1">
      <alignment horizontal="left" vertical="top"/>
    </xf>
    <xf numFmtId="0" fontId="12" fillId="2" borderId="0" xfId="0" applyFont="1" applyFill="1" applyAlignment="1">
      <alignment horizontal="center" vertical="center"/>
    </xf>
    <xf numFmtId="0" fontId="12" fillId="0" borderId="0" xfId="0" applyFont="1" applyAlignment="1">
      <alignment horizontal="left" vertical="top"/>
    </xf>
    <xf numFmtId="0" fontId="12" fillId="0" borderId="0" xfId="0" applyFont="1" applyAlignment="1">
      <alignment horizontal="left" vertical="top" wrapText="1"/>
    </xf>
    <xf numFmtId="0" fontId="12" fillId="0" borderId="0" xfId="0" quotePrefix="1" applyFont="1" applyAlignment="1">
      <alignment horizontal="left" vertical="top"/>
    </xf>
    <xf numFmtId="0" fontId="12" fillId="4" borderId="0" xfId="0" applyFont="1" applyFill="1" applyAlignment="1">
      <alignment horizontal="left" vertical="top"/>
    </xf>
    <xf numFmtId="0" fontId="13" fillId="0" borderId="0" xfId="0" applyFont="1" applyAlignment="1">
      <alignment horizontal="left" vertical="top"/>
    </xf>
    <xf numFmtId="0" fontId="13" fillId="2" borderId="0" xfId="0" applyFont="1" applyFill="1" applyAlignment="1">
      <alignment horizontal="center" vertical="center"/>
    </xf>
    <xf numFmtId="0" fontId="12" fillId="3" borderId="0" xfId="0" applyFont="1" applyFill="1" applyAlignment="1">
      <alignment horizontal="left" vertical="top"/>
    </xf>
    <xf numFmtId="0" fontId="12" fillId="5" borderId="0" xfId="0" applyFont="1" applyFill="1" applyAlignment="1">
      <alignment horizontal="left" vertical="top"/>
    </xf>
    <xf numFmtId="0" fontId="12" fillId="0" borderId="0" xfId="0" applyFont="1" applyAlignment="1">
      <alignment horizontal="center" vertical="center"/>
    </xf>
    <xf numFmtId="0" fontId="11" fillId="10" borderId="0" xfId="0" applyFont="1" applyFill="1" applyAlignment="1">
      <alignment horizontal="left" vertical="top"/>
    </xf>
    <xf numFmtId="0" fontId="11" fillId="10" borderId="0" xfId="0" applyFont="1" applyFill="1" applyAlignment="1">
      <alignment horizontal="center" vertical="top"/>
    </xf>
    <xf numFmtId="0" fontId="14" fillId="0" borderId="0" xfId="0" applyFont="1" applyAlignment="1">
      <alignment horizontal="left" vertical="top"/>
    </xf>
    <xf numFmtId="0" fontId="14" fillId="0" borderId="0" xfId="0" applyFont="1"/>
    <xf numFmtId="0" fontId="12" fillId="0" borderId="0" xfId="0" applyFont="1" applyAlignment="1">
      <alignment horizontal="center" vertical="top"/>
    </xf>
    <xf numFmtId="0" fontId="14" fillId="0" borderId="0" xfId="0" applyFont="1" applyAlignment="1">
      <alignment horizontal="left" vertical="top" wrapText="1"/>
    </xf>
    <xf numFmtId="0" fontId="12" fillId="11" borderId="0" xfId="0" applyFont="1" applyFill="1" applyAlignment="1">
      <alignment horizontal="left" vertical="top"/>
    </xf>
    <xf numFmtId="0" fontId="12" fillId="11" borderId="0" xfId="0" applyFont="1" applyFill="1" applyAlignment="1">
      <alignment horizontal="center" vertical="top"/>
    </xf>
    <xf numFmtId="0" fontId="12" fillId="0" borderId="0" xfId="0" applyFont="1" applyAlignment="1">
      <alignment horizontal="center"/>
    </xf>
    <xf numFmtId="0" fontId="12" fillId="11" borderId="0" xfId="0" applyFont="1" applyFill="1"/>
    <xf numFmtId="0" fontId="12" fillId="11" borderId="0" xfId="0" applyFont="1" applyFill="1" applyAlignment="1">
      <alignment vertical="center"/>
    </xf>
    <xf numFmtId="0" fontId="12" fillId="12" borderId="0" xfId="0" applyFont="1" applyFill="1" applyAlignment="1">
      <alignment horizontal="left" vertical="top"/>
    </xf>
    <xf numFmtId="0" fontId="12" fillId="0" borderId="0" xfId="0" applyFont="1" applyAlignment="1">
      <alignment vertical="center"/>
    </xf>
    <xf numFmtId="0" fontId="12" fillId="11" borderId="0" xfId="0" applyFont="1" applyFill="1" applyAlignment="1">
      <alignment horizontal="left" vertical="top" wrapText="1"/>
    </xf>
    <xf numFmtId="0" fontId="15" fillId="0" borderId="0" xfId="0" applyFont="1" applyAlignment="1">
      <alignment horizontal="left" vertical="top"/>
    </xf>
    <xf numFmtId="0" fontId="12" fillId="9" borderId="0" xfId="0" applyFont="1" applyFill="1" applyAlignment="1">
      <alignment horizontal="left" vertical="top"/>
    </xf>
    <xf numFmtId="0" fontId="16" fillId="0" borderId="0" xfId="0" applyFont="1" applyAlignment="1">
      <alignment horizontal="left" vertical="top"/>
    </xf>
    <xf numFmtId="0" fontId="16" fillId="0" borderId="0" xfId="0" applyFont="1" applyAlignment="1">
      <alignment horizontal="center" vertical="top"/>
    </xf>
    <xf numFmtId="0" fontId="12" fillId="0" borderId="0" xfId="0" applyFont="1"/>
    <xf numFmtId="0" fontId="12" fillId="13" borderId="0" xfId="0" applyFont="1" applyFill="1" applyAlignment="1">
      <alignment horizontal="left" vertical="top"/>
    </xf>
    <xf numFmtId="0" fontId="12" fillId="14" borderId="0" xfId="0" applyFont="1" applyFill="1" applyAlignment="1">
      <alignment horizontal="left" vertical="top"/>
    </xf>
    <xf numFmtId="0" fontId="12" fillId="15" borderId="0" xfId="0" applyFont="1" applyFill="1" applyAlignment="1">
      <alignment horizontal="left" vertical="top"/>
    </xf>
    <xf numFmtId="0" fontId="18" fillId="0" borderId="0" xfId="0" applyFont="1" applyAlignment="1">
      <alignment horizontal="left" vertical="top"/>
    </xf>
    <xf numFmtId="0" fontId="12" fillId="12" borderId="0" xfId="0" applyFont="1" applyFill="1"/>
    <xf numFmtId="0" fontId="12" fillId="12" borderId="0" xfId="0" applyFont="1" applyFill="1" applyAlignment="1">
      <alignment horizontal="center" vertical="top"/>
    </xf>
    <xf numFmtId="0" fontId="12" fillId="12" borderId="0" xfId="0" applyFont="1" applyFill="1" applyAlignment="1">
      <alignment horizontal="left" vertical="top" wrapText="1"/>
    </xf>
    <xf numFmtId="0" fontId="12" fillId="0" borderId="0" xfId="0" applyFont="1" applyAlignment="1">
      <alignment horizontal="left" vertical="center"/>
    </xf>
    <xf numFmtId="0" fontId="12" fillId="11" borderId="0" xfId="0" applyFont="1" applyFill="1" applyAlignment="1">
      <alignment horizontal="left" vertical="center"/>
    </xf>
    <xf numFmtId="0" fontId="12" fillId="11" borderId="0" xfId="0" applyFont="1" applyFill="1" applyAlignment="1">
      <alignment horizontal="center" vertical="center"/>
    </xf>
    <xf numFmtId="0" fontId="20" fillId="0" borderId="0" xfId="0" applyFont="1" applyAlignment="1">
      <alignment horizontal="left" vertical="top"/>
    </xf>
    <xf numFmtId="0" fontId="3" fillId="15" borderId="0" xfId="0" applyFont="1" applyFill="1" applyAlignment="1">
      <alignment horizontal="left" vertical="top"/>
    </xf>
    <xf numFmtId="0" fontId="3" fillId="15" borderId="0" xfId="0" applyFont="1" applyFill="1" applyAlignment="1">
      <alignment horizontal="left" vertical="top" wrapText="1"/>
    </xf>
    <xf numFmtId="0" fontId="5" fillId="5" borderId="0" xfId="0" applyFont="1" applyFill="1" applyAlignment="1">
      <alignment horizontal="left" vertical="top" wrapText="1"/>
    </xf>
  </cellXfs>
  <cellStyles count="1">
    <cellStyle name="Normal" xfId="0" builtinId="0"/>
  </cellStyles>
  <dxfs count="0"/>
  <tableStyles count="0" defaultTableStyle="TableStyleMedium2" defaultPivotStyle="PivotStyleLight16"/>
  <colors>
    <mruColors>
      <color rgb="FFF19485"/>
      <color rgb="FFD3C4E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45CCE-7849-4608-BA53-0CA4FD51ED56}">
  <dimension ref="A1:X238"/>
  <sheetViews>
    <sheetView tabSelected="1" zoomScaleNormal="100" workbookViewId="0">
      <pane xSplit="2" ySplit="1" topLeftCell="C221" activePane="bottomRight" state="frozen"/>
      <selection pane="topRight" activeCell="B1" sqref="B1"/>
      <selection pane="bottomLeft" activeCell="A2" sqref="A2"/>
      <selection pane="bottomRight" activeCell="A238" sqref="A238"/>
    </sheetView>
  </sheetViews>
  <sheetFormatPr defaultColWidth="10.625" defaultRowHeight="17.850000000000001" customHeight="1" x14ac:dyDescent="0.25"/>
  <cols>
    <col min="1" max="1" width="6.125" style="35" customWidth="1"/>
    <col min="2" max="2" width="26.125" style="27" customWidth="1"/>
    <col min="3" max="3" width="48.875" style="27" customWidth="1"/>
    <col min="4" max="4" width="58" style="27" customWidth="1"/>
    <col min="5" max="5" width="64" style="27" customWidth="1"/>
    <col min="6" max="6" width="29" style="27" customWidth="1"/>
    <col min="7" max="7" width="30.625" style="27" customWidth="1"/>
    <col min="8" max="8" width="20.625" style="27" customWidth="1"/>
    <col min="9" max="9" width="10.625" style="27" customWidth="1"/>
    <col min="10" max="10" width="49.875" style="27" customWidth="1"/>
    <col min="11" max="11" width="23.125" style="27" customWidth="1"/>
    <col min="12" max="12" width="10.625" style="27" customWidth="1"/>
    <col min="13" max="13" width="7.125" style="27" customWidth="1"/>
    <col min="14" max="15" width="10.625" style="27" customWidth="1"/>
    <col min="16" max="16" width="181" style="27" bestFit="1" customWidth="1"/>
    <col min="17" max="17" width="3.375" style="27" customWidth="1"/>
    <col min="18" max="18" width="10.625" style="27"/>
    <col min="19" max="19" width="44.875" style="27" bestFit="1" customWidth="1"/>
    <col min="20" max="20" width="58.625" style="27" bestFit="1" customWidth="1"/>
    <col min="21" max="21" width="15.125" style="27" bestFit="1" customWidth="1"/>
    <col min="22" max="22" width="15.625" style="27" bestFit="1" customWidth="1"/>
    <col min="23" max="23" width="22.375" style="27" bestFit="1" customWidth="1"/>
    <col min="24" max="24" width="17.125" style="27" bestFit="1" customWidth="1"/>
    <col min="25" max="16384" width="10.625" style="27"/>
  </cols>
  <sheetData>
    <row r="1" spans="1:24" s="25" customFormat="1" ht="17.850000000000001" customHeight="1" x14ac:dyDescent="0.25">
      <c r="A1" s="23" t="s">
        <v>626</v>
      </c>
      <c r="B1" s="24" t="s">
        <v>0</v>
      </c>
      <c r="C1" s="24" t="s">
        <v>1</v>
      </c>
      <c r="D1" s="24" t="s">
        <v>583</v>
      </c>
      <c r="E1" s="24" t="s">
        <v>2</v>
      </c>
      <c r="F1" s="24" t="s">
        <v>31</v>
      </c>
      <c r="G1" s="24" t="s">
        <v>87</v>
      </c>
      <c r="H1" s="24" t="s">
        <v>490</v>
      </c>
      <c r="I1" s="24" t="s">
        <v>414</v>
      </c>
      <c r="J1" s="24" t="s">
        <v>3</v>
      </c>
      <c r="K1" s="24" t="s">
        <v>23</v>
      </c>
      <c r="L1" s="24" t="s">
        <v>24</v>
      </c>
      <c r="M1" s="24" t="s">
        <v>81</v>
      </c>
      <c r="N1" s="24" t="s">
        <v>5</v>
      </c>
      <c r="O1" s="24" t="s">
        <v>429</v>
      </c>
      <c r="P1" s="24" t="s">
        <v>1016</v>
      </c>
      <c r="Q1" s="24" t="s">
        <v>421</v>
      </c>
      <c r="R1" s="24" t="s">
        <v>732</v>
      </c>
      <c r="S1" s="36" t="s">
        <v>1017</v>
      </c>
      <c r="T1" s="36" t="s">
        <v>1018</v>
      </c>
      <c r="U1" s="37" t="s">
        <v>1019</v>
      </c>
      <c r="V1" s="36" t="s">
        <v>1020</v>
      </c>
      <c r="W1" s="36" t="s">
        <v>1021</v>
      </c>
      <c r="X1" s="36" t="s">
        <v>1022</v>
      </c>
    </row>
    <row r="2" spans="1:24" ht="17.850000000000001" customHeight="1" x14ac:dyDescent="0.25">
      <c r="A2" s="26" t="s">
        <v>426</v>
      </c>
      <c r="B2" s="27" t="s">
        <v>933</v>
      </c>
      <c r="C2" s="27" t="s">
        <v>408</v>
      </c>
      <c r="D2" s="27" t="s">
        <v>10</v>
      </c>
      <c r="E2" s="27" t="s">
        <v>661</v>
      </c>
      <c r="F2" s="27" t="s">
        <v>25</v>
      </c>
      <c r="G2" s="27" t="s">
        <v>82</v>
      </c>
      <c r="H2" s="27" t="s">
        <v>25</v>
      </c>
      <c r="I2" s="27" t="s">
        <v>415</v>
      </c>
      <c r="J2" s="27" t="s">
        <v>4</v>
      </c>
      <c r="M2" s="27" t="s">
        <v>82</v>
      </c>
      <c r="N2" s="27" t="s">
        <v>6</v>
      </c>
      <c r="R2" s="27" t="s">
        <v>733</v>
      </c>
    </row>
    <row r="3" spans="1:24" ht="17.850000000000001" customHeight="1" x14ac:dyDescent="0.25">
      <c r="A3" s="26" t="s">
        <v>426</v>
      </c>
      <c r="B3" s="27" t="s">
        <v>933</v>
      </c>
      <c r="C3" s="27" t="s">
        <v>409</v>
      </c>
      <c r="D3" s="27" t="s">
        <v>9</v>
      </c>
      <c r="E3" s="27" t="s">
        <v>349</v>
      </c>
      <c r="F3" s="27" t="s">
        <v>26</v>
      </c>
      <c r="G3" s="27" t="s">
        <v>82</v>
      </c>
      <c r="H3" s="27" t="s">
        <v>26</v>
      </c>
      <c r="I3" s="27" t="s">
        <v>415</v>
      </c>
      <c r="J3" s="27" t="s">
        <v>7</v>
      </c>
      <c r="K3" s="29" t="s">
        <v>287</v>
      </c>
      <c r="M3" s="27" t="s">
        <v>82</v>
      </c>
      <c r="N3" s="27" t="s">
        <v>287</v>
      </c>
      <c r="R3" s="27" t="s">
        <v>733</v>
      </c>
    </row>
    <row r="4" spans="1:24" ht="17.850000000000001" customHeight="1" x14ac:dyDescent="0.25">
      <c r="A4" s="26" t="s">
        <v>426</v>
      </c>
      <c r="B4" s="27" t="s">
        <v>933</v>
      </c>
      <c r="C4" s="27" t="s">
        <v>410</v>
      </c>
      <c r="D4" s="27" t="s">
        <v>8</v>
      </c>
      <c r="E4" s="27" t="s">
        <v>350</v>
      </c>
      <c r="F4" s="27" t="s">
        <v>27</v>
      </c>
      <c r="G4" s="27" t="s">
        <v>82</v>
      </c>
      <c r="H4" s="27" t="s">
        <v>27</v>
      </c>
      <c r="I4" s="27" t="s">
        <v>415</v>
      </c>
      <c r="J4" s="27" t="s">
        <v>11</v>
      </c>
      <c r="M4" s="27" t="s">
        <v>82</v>
      </c>
      <c r="N4" s="27" t="s">
        <v>6</v>
      </c>
      <c r="R4" s="27" t="s">
        <v>733</v>
      </c>
    </row>
    <row r="5" spans="1:24" ht="17.850000000000001" customHeight="1" x14ac:dyDescent="0.25">
      <c r="A5" s="26" t="s">
        <v>426</v>
      </c>
      <c r="B5" s="27" t="s">
        <v>933</v>
      </c>
      <c r="C5" s="27" t="s">
        <v>411</v>
      </c>
      <c r="D5" s="27" t="s">
        <v>12</v>
      </c>
      <c r="E5" s="27" t="s">
        <v>1023</v>
      </c>
      <c r="F5" s="27" t="s">
        <v>28</v>
      </c>
      <c r="G5" s="27" t="s">
        <v>82</v>
      </c>
      <c r="H5" s="27" t="s">
        <v>28</v>
      </c>
      <c r="I5" s="27" t="s">
        <v>415</v>
      </c>
      <c r="J5" s="27" t="s">
        <v>13</v>
      </c>
      <c r="M5" s="27" t="s">
        <v>611</v>
      </c>
      <c r="N5" s="27" t="s">
        <v>6</v>
      </c>
      <c r="R5" s="27" t="s">
        <v>733</v>
      </c>
    </row>
    <row r="6" spans="1:24" s="54" customFormat="1" ht="15.75" x14ac:dyDescent="0.25">
      <c r="A6" s="26" t="s">
        <v>426</v>
      </c>
      <c r="B6" s="27" t="s">
        <v>933</v>
      </c>
      <c r="C6" s="27" t="s">
        <v>412</v>
      </c>
      <c r="D6" s="27" t="s">
        <v>1024</v>
      </c>
      <c r="E6" s="27" t="s">
        <v>351</v>
      </c>
      <c r="F6" s="27" t="s">
        <v>29</v>
      </c>
      <c r="G6" s="27" t="s">
        <v>82</v>
      </c>
      <c r="H6" s="27" t="s">
        <v>29</v>
      </c>
      <c r="I6" s="27" t="s">
        <v>415</v>
      </c>
      <c r="J6" s="27" t="s">
        <v>14</v>
      </c>
      <c r="K6" s="27"/>
      <c r="L6" s="27"/>
      <c r="M6" s="27" t="s">
        <v>82</v>
      </c>
      <c r="N6" s="27" t="s">
        <v>6</v>
      </c>
      <c r="O6" s="27"/>
      <c r="P6" s="27"/>
      <c r="Q6" s="27"/>
      <c r="R6" s="27" t="s">
        <v>733</v>
      </c>
      <c r="S6" s="27"/>
      <c r="T6" s="27"/>
      <c r="U6" s="40"/>
      <c r="V6" s="27"/>
      <c r="W6" s="27"/>
      <c r="X6" s="27"/>
    </row>
    <row r="7" spans="1:24" ht="17.850000000000001" customHeight="1" x14ac:dyDescent="0.25">
      <c r="A7" s="26" t="s">
        <v>426</v>
      </c>
      <c r="B7" s="27" t="s">
        <v>933</v>
      </c>
      <c r="C7" s="27" t="s">
        <v>413</v>
      </c>
      <c r="D7" s="27" t="s">
        <v>15</v>
      </c>
      <c r="E7" s="27" t="s">
        <v>352</v>
      </c>
      <c r="F7" s="27" t="s">
        <v>30</v>
      </c>
      <c r="G7" s="27" t="s">
        <v>82</v>
      </c>
      <c r="H7" s="27" t="s">
        <v>30</v>
      </c>
      <c r="I7" s="27" t="s">
        <v>415</v>
      </c>
      <c r="J7" s="27" t="s">
        <v>16</v>
      </c>
      <c r="M7" s="27" t="s">
        <v>82</v>
      </c>
      <c r="N7" s="27" t="s">
        <v>6</v>
      </c>
      <c r="R7" s="27" t="s">
        <v>733</v>
      </c>
    </row>
    <row r="8" spans="1:24" ht="17.850000000000001" customHeight="1" x14ac:dyDescent="0.25">
      <c r="A8" s="26" t="s">
        <v>426</v>
      </c>
      <c r="B8" s="27" t="s">
        <v>933</v>
      </c>
      <c r="C8" s="27" t="s">
        <v>416</v>
      </c>
      <c r="D8" s="27" t="s">
        <v>936</v>
      </c>
      <c r="E8" s="27" t="s">
        <v>352</v>
      </c>
      <c r="F8" s="27" t="s">
        <v>1482</v>
      </c>
      <c r="G8" s="27" t="s">
        <v>1483</v>
      </c>
      <c r="H8" s="27" t="s">
        <v>30</v>
      </c>
      <c r="I8" s="27" t="s">
        <v>415</v>
      </c>
      <c r="J8" s="27" t="s">
        <v>937</v>
      </c>
      <c r="K8" s="27" t="s">
        <v>998</v>
      </c>
      <c r="M8" s="27" t="s">
        <v>82</v>
      </c>
      <c r="N8" s="27" t="s">
        <v>6</v>
      </c>
      <c r="R8" s="27" t="s">
        <v>733</v>
      </c>
    </row>
    <row r="9" spans="1:24" ht="17.850000000000001" customHeight="1" x14ac:dyDescent="0.25">
      <c r="A9" s="26" t="s">
        <v>426</v>
      </c>
      <c r="B9" s="27" t="s">
        <v>933</v>
      </c>
      <c r="C9" s="27" t="s">
        <v>417</v>
      </c>
      <c r="D9" s="27" t="s">
        <v>489</v>
      </c>
      <c r="E9" s="27" t="s">
        <v>353</v>
      </c>
      <c r="F9" s="27" t="s">
        <v>98</v>
      </c>
      <c r="G9" s="27" t="s">
        <v>82</v>
      </c>
      <c r="H9" s="27" t="s">
        <v>439</v>
      </c>
      <c r="I9" s="27" t="s">
        <v>415</v>
      </c>
      <c r="J9" s="27" t="s">
        <v>17</v>
      </c>
      <c r="K9" s="27" t="s">
        <v>287</v>
      </c>
      <c r="M9" s="27" t="s">
        <v>612</v>
      </c>
      <c r="N9" s="27" t="s">
        <v>287</v>
      </c>
      <c r="R9" s="27" t="s">
        <v>733</v>
      </c>
    </row>
    <row r="10" spans="1:24" ht="17.850000000000001" customHeight="1" x14ac:dyDescent="0.25">
      <c r="A10" s="26" t="s">
        <v>426</v>
      </c>
      <c r="B10" s="27" t="s">
        <v>933</v>
      </c>
      <c r="C10" s="27" t="s">
        <v>418</v>
      </c>
      <c r="D10" s="27" t="s">
        <v>20</v>
      </c>
      <c r="E10" s="27" t="s">
        <v>354</v>
      </c>
      <c r="F10" s="27" t="s">
        <v>32</v>
      </c>
      <c r="G10" s="27" t="s">
        <v>82</v>
      </c>
      <c r="H10" s="27" t="s">
        <v>32</v>
      </c>
      <c r="I10" s="27" t="s">
        <v>415</v>
      </c>
      <c r="J10" s="27" t="s">
        <v>18</v>
      </c>
      <c r="M10" s="27" t="s">
        <v>611</v>
      </c>
      <c r="N10" s="27" t="s">
        <v>6</v>
      </c>
      <c r="R10" s="27" t="s">
        <v>733</v>
      </c>
    </row>
    <row r="11" spans="1:24" ht="17.850000000000001" customHeight="1" x14ac:dyDescent="0.25">
      <c r="A11" s="26" t="s">
        <v>426</v>
      </c>
      <c r="B11" s="27" t="s">
        <v>1444</v>
      </c>
      <c r="C11" s="27" t="s">
        <v>100</v>
      </c>
      <c r="D11" s="27" t="s">
        <v>938</v>
      </c>
      <c r="E11" s="27" t="s">
        <v>355</v>
      </c>
      <c r="F11" s="27" t="s">
        <v>1484</v>
      </c>
      <c r="G11" s="27" t="s">
        <v>82</v>
      </c>
      <c r="H11" s="27" t="s">
        <v>491</v>
      </c>
      <c r="I11" s="27" t="s">
        <v>415</v>
      </c>
      <c r="J11" s="27" t="s">
        <v>21</v>
      </c>
      <c r="K11" s="27" t="s">
        <v>997</v>
      </c>
      <c r="M11" s="27" t="s">
        <v>82</v>
      </c>
      <c r="N11" s="27" t="s">
        <v>6</v>
      </c>
      <c r="P11" s="30" t="s">
        <v>425</v>
      </c>
      <c r="Q11" s="27">
        <v>1</v>
      </c>
      <c r="R11" s="27" t="s">
        <v>733</v>
      </c>
      <c r="S11" s="47" t="s">
        <v>1444</v>
      </c>
      <c r="T11" s="42" t="s">
        <v>1025</v>
      </c>
      <c r="U11" s="43">
        <v>2</v>
      </c>
      <c r="V11" s="42" t="s">
        <v>1026</v>
      </c>
      <c r="W11" s="42" t="s">
        <v>1027</v>
      </c>
      <c r="X11" s="59" t="s">
        <v>1028</v>
      </c>
    </row>
    <row r="12" spans="1:24" ht="17.850000000000001" customHeight="1" x14ac:dyDescent="0.25">
      <c r="A12" s="26" t="s">
        <v>426</v>
      </c>
      <c r="B12" s="27" t="s">
        <v>1444</v>
      </c>
      <c r="C12" s="27" t="s">
        <v>101</v>
      </c>
      <c r="D12" s="27" t="s">
        <v>939</v>
      </c>
      <c r="E12" s="27" t="s">
        <v>356</v>
      </c>
      <c r="F12" s="27" t="s">
        <v>1485</v>
      </c>
      <c r="G12" s="27" t="s">
        <v>99</v>
      </c>
      <c r="H12" s="27" t="s">
        <v>492</v>
      </c>
      <c r="I12" s="27" t="s">
        <v>415</v>
      </c>
      <c r="J12" s="27" t="s">
        <v>22</v>
      </c>
      <c r="K12" s="27" t="s">
        <v>989</v>
      </c>
      <c r="L12" s="27" t="s">
        <v>990</v>
      </c>
      <c r="M12" s="27" t="s">
        <v>82</v>
      </c>
      <c r="N12" s="27" t="s">
        <v>6</v>
      </c>
      <c r="P12" s="27" t="s">
        <v>422</v>
      </c>
      <c r="Q12" s="27">
        <v>1</v>
      </c>
      <c r="R12" s="27" t="s">
        <v>733</v>
      </c>
      <c r="S12" s="47" t="s">
        <v>1444</v>
      </c>
      <c r="T12" s="42" t="s">
        <v>1025</v>
      </c>
      <c r="U12" s="43">
        <v>3</v>
      </c>
      <c r="V12" s="42" t="s">
        <v>1026</v>
      </c>
      <c r="W12" s="42" t="s">
        <v>1027</v>
      </c>
      <c r="X12" s="59" t="s">
        <v>1028</v>
      </c>
    </row>
    <row r="13" spans="1:24" ht="17.850000000000001" customHeight="1" x14ac:dyDescent="0.25">
      <c r="A13" s="26" t="s">
        <v>426</v>
      </c>
      <c r="B13" s="27" t="s">
        <v>1444</v>
      </c>
      <c r="C13" s="27" t="s">
        <v>102</v>
      </c>
      <c r="D13" s="27" t="s">
        <v>905</v>
      </c>
      <c r="E13" s="27" t="s">
        <v>357</v>
      </c>
      <c r="F13" s="27" t="s">
        <v>1486</v>
      </c>
      <c r="G13" s="27" t="s">
        <v>1484</v>
      </c>
      <c r="H13" s="27" t="s">
        <v>493</v>
      </c>
      <c r="I13" s="27" t="s">
        <v>415</v>
      </c>
      <c r="J13" s="27" t="s">
        <v>904</v>
      </c>
      <c r="K13" s="27" t="s">
        <v>986</v>
      </c>
      <c r="M13" s="27" t="s">
        <v>82</v>
      </c>
      <c r="N13" s="27" t="s">
        <v>6</v>
      </c>
      <c r="R13" s="27" t="s">
        <v>733</v>
      </c>
      <c r="T13" s="54"/>
      <c r="U13" s="44"/>
      <c r="V13" s="54"/>
      <c r="W13" s="54"/>
      <c r="X13" s="54"/>
    </row>
    <row r="14" spans="1:24" ht="17.850000000000001" customHeight="1" x14ac:dyDescent="0.25">
      <c r="A14" s="26" t="s">
        <v>426</v>
      </c>
      <c r="B14" s="27" t="s">
        <v>1444</v>
      </c>
      <c r="C14" s="27" t="s">
        <v>430</v>
      </c>
      <c r="D14" s="27" t="s">
        <v>33</v>
      </c>
      <c r="E14" s="27" t="s">
        <v>358</v>
      </c>
      <c r="F14" s="27" t="s">
        <v>83</v>
      </c>
      <c r="G14" s="27" t="s">
        <v>1486</v>
      </c>
      <c r="H14" s="27" t="s">
        <v>610</v>
      </c>
      <c r="I14" s="27" t="s">
        <v>415</v>
      </c>
      <c r="J14" s="27" t="s">
        <v>36</v>
      </c>
      <c r="K14" s="27" t="s">
        <v>952</v>
      </c>
      <c r="M14" s="27" t="s">
        <v>82</v>
      </c>
      <c r="N14" s="27" t="s">
        <v>287</v>
      </c>
      <c r="R14" s="27" t="s">
        <v>733</v>
      </c>
      <c r="S14" s="47" t="s">
        <v>1444</v>
      </c>
      <c r="T14" s="45" t="s">
        <v>1025</v>
      </c>
      <c r="U14" s="43">
        <v>4</v>
      </c>
      <c r="V14" s="42" t="s">
        <v>1026</v>
      </c>
      <c r="W14" s="42" t="s">
        <v>1027</v>
      </c>
      <c r="X14" s="59" t="s">
        <v>1028</v>
      </c>
    </row>
    <row r="15" spans="1:24" ht="17.850000000000001" customHeight="1" x14ac:dyDescent="0.25">
      <c r="A15" s="26" t="s">
        <v>426</v>
      </c>
      <c r="B15" s="27" t="s">
        <v>1444</v>
      </c>
      <c r="C15" s="27" t="s">
        <v>431</v>
      </c>
      <c r="D15" s="27" t="s">
        <v>33</v>
      </c>
      <c r="E15" s="27" t="s">
        <v>358</v>
      </c>
      <c r="F15" s="27" t="s">
        <v>84</v>
      </c>
      <c r="G15" s="27" t="s">
        <v>1486</v>
      </c>
      <c r="H15" s="27" t="s">
        <v>610</v>
      </c>
      <c r="I15" s="27" t="s">
        <v>415</v>
      </c>
      <c r="J15" s="27" t="s">
        <v>37</v>
      </c>
      <c r="K15" s="27" t="s">
        <v>987</v>
      </c>
      <c r="M15" s="27" t="s">
        <v>82</v>
      </c>
      <c r="N15" s="27" t="s">
        <v>287</v>
      </c>
      <c r="R15" s="27" t="s">
        <v>733</v>
      </c>
      <c r="S15" s="54"/>
      <c r="T15" s="54"/>
      <c r="U15" s="44"/>
      <c r="V15" s="54"/>
      <c r="W15" s="54"/>
      <c r="X15" s="54"/>
    </row>
    <row r="16" spans="1:24" ht="17.850000000000001" customHeight="1" x14ac:dyDescent="0.25">
      <c r="A16" s="26" t="s">
        <v>426</v>
      </c>
      <c r="B16" s="27" t="s">
        <v>1444</v>
      </c>
      <c r="C16" s="27" t="s">
        <v>103</v>
      </c>
      <c r="D16" s="27" t="s">
        <v>38</v>
      </c>
      <c r="E16" s="27" t="s">
        <v>359</v>
      </c>
      <c r="F16" s="27" t="s">
        <v>615</v>
      </c>
      <c r="G16" s="27" t="s">
        <v>1487</v>
      </c>
      <c r="H16" s="27" t="s">
        <v>494</v>
      </c>
      <c r="I16" s="27" t="s">
        <v>415</v>
      </c>
      <c r="J16" s="27" t="s">
        <v>34</v>
      </c>
      <c r="K16" s="27" t="s">
        <v>991</v>
      </c>
      <c r="M16" s="27" t="s">
        <v>82</v>
      </c>
      <c r="N16" s="27" t="s">
        <v>6</v>
      </c>
      <c r="P16" s="27" t="s">
        <v>669</v>
      </c>
      <c r="Q16" s="27">
        <v>1</v>
      </c>
      <c r="R16" s="27" t="s">
        <v>733</v>
      </c>
      <c r="T16" s="54"/>
      <c r="U16" s="44"/>
      <c r="V16" s="54"/>
      <c r="W16" s="54"/>
      <c r="X16" s="54"/>
    </row>
    <row r="17" spans="1:24" ht="17.850000000000001" customHeight="1" x14ac:dyDescent="0.25">
      <c r="A17" s="26" t="s">
        <v>426</v>
      </c>
      <c r="B17" s="27" t="s">
        <v>1444</v>
      </c>
      <c r="C17" s="27" t="s">
        <v>104</v>
      </c>
      <c r="D17" s="27" t="s">
        <v>38</v>
      </c>
      <c r="E17" s="27" t="s">
        <v>359</v>
      </c>
      <c r="F17" s="27" t="s">
        <v>615</v>
      </c>
      <c r="G17" s="27" t="s">
        <v>1488</v>
      </c>
      <c r="H17" s="27" t="s">
        <v>495</v>
      </c>
      <c r="I17" s="27" t="s">
        <v>415</v>
      </c>
      <c r="J17" s="27" t="s">
        <v>39</v>
      </c>
      <c r="K17" s="27" t="s">
        <v>35</v>
      </c>
      <c r="M17" s="27" t="s">
        <v>82</v>
      </c>
      <c r="N17" s="27" t="s">
        <v>6</v>
      </c>
      <c r="R17" s="27" t="s">
        <v>733</v>
      </c>
      <c r="S17" s="54"/>
      <c r="T17" s="54"/>
      <c r="U17" s="44"/>
      <c r="V17" s="54"/>
      <c r="W17" s="54"/>
      <c r="X17" s="54"/>
    </row>
    <row r="18" spans="1:24" s="30" customFormat="1" ht="17.850000000000001" customHeight="1" x14ac:dyDescent="0.25">
      <c r="A18" s="26" t="s">
        <v>426</v>
      </c>
      <c r="B18" s="27" t="s">
        <v>1444</v>
      </c>
      <c r="C18" s="27" t="s">
        <v>627</v>
      </c>
      <c r="D18" s="27" t="s">
        <v>628</v>
      </c>
      <c r="E18" s="27" t="s">
        <v>629</v>
      </c>
      <c r="F18" s="27" t="s">
        <v>630</v>
      </c>
      <c r="G18" s="27" t="s">
        <v>82</v>
      </c>
      <c r="H18" s="27" t="s">
        <v>631</v>
      </c>
      <c r="I18" s="27" t="s">
        <v>415</v>
      </c>
      <c r="J18" s="27" t="s">
        <v>1714</v>
      </c>
      <c r="K18" s="27" t="s">
        <v>992</v>
      </c>
      <c r="L18" s="27"/>
      <c r="M18" s="27" t="s">
        <v>82</v>
      </c>
      <c r="N18" s="27" t="s">
        <v>6</v>
      </c>
      <c r="O18" s="27"/>
      <c r="P18" s="27"/>
      <c r="Q18" s="27"/>
      <c r="R18" s="27" t="s">
        <v>733</v>
      </c>
      <c r="S18" s="54"/>
      <c r="T18" s="54"/>
      <c r="U18" s="44"/>
      <c r="V18" s="54"/>
      <c r="W18" s="54"/>
      <c r="X18" s="54"/>
    </row>
    <row r="19" spans="1:24" s="30" customFormat="1" ht="17.850000000000001" customHeight="1" x14ac:dyDescent="0.25">
      <c r="A19" s="26" t="s">
        <v>426</v>
      </c>
      <c r="B19" s="27" t="s">
        <v>1444</v>
      </c>
      <c r="C19" s="27" t="s">
        <v>632</v>
      </c>
      <c r="D19" s="27" t="s">
        <v>628</v>
      </c>
      <c r="E19" s="27" t="s">
        <v>629</v>
      </c>
      <c r="F19" s="27" t="s">
        <v>633</v>
      </c>
      <c r="G19" s="27" t="s">
        <v>1484</v>
      </c>
      <c r="H19" s="27" t="s">
        <v>634</v>
      </c>
      <c r="I19" s="27" t="s">
        <v>415</v>
      </c>
      <c r="J19" s="27" t="s">
        <v>635</v>
      </c>
      <c r="K19" s="27" t="s">
        <v>992</v>
      </c>
      <c r="L19" s="27"/>
      <c r="M19" s="27" t="s">
        <v>82</v>
      </c>
      <c r="N19" s="27" t="s">
        <v>6</v>
      </c>
      <c r="O19" s="27"/>
      <c r="P19" s="27"/>
      <c r="Q19" s="27"/>
      <c r="R19" s="27" t="s">
        <v>733</v>
      </c>
      <c r="S19" s="54"/>
      <c r="T19" s="54"/>
      <c r="U19" s="44"/>
      <c r="V19" s="54"/>
      <c r="W19" s="54"/>
      <c r="X19" s="54"/>
    </row>
    <row r="20" spans="1:24" ht="17.850000000000001" customHeight="1" x14ac:dyDescent="0.25">
      <c r="A20" s="26" t="s">
        <v>426</v>
      </c>
      <c r="B20" s="27" t="s">
        <v>1444</v>
      </c>
      <c r="C20" s="27" t="s">
        <v>105</v>
      </c>
      <c r="D20" s="27" t="s">
        <v>40</v>
      </c>
      <c r="E20" s="27" t="s">
        <v>359</v>
      </c>
      <c r="F20" s="27" t="s">
        <v>940</v>
      </c>
      <c r="G20" s="27" t="s">
        <v>1489</v>
      </c>
      <c r="H20" s="27" t="s">
        <v>941</v>
      </c>
      <c r="I20" s="27" t="s">
        <v>415</v>
      </c>
      <c r="J20" s="27" t="s">
        <v>41</v>
      </c>
      <c r="K20" s="27" t="s">
        <v>988</v>
      </c>
      <c r="M20" s="27" t="s">
        <v>82</v>
      </c>
      <c r="N20" s="27" t="s">
        <v>287</v>
      </c>
      <c r="P20" s="27" t="s">
        <v>670</v>
      </c>
      <c r="Q20" s="27">
        <v>1</v>
      </c>
      <c r="R20" s="27" t="s">
        <v>733</v>
      </c>
      <c r="S20" s="54"/>
      <c r="T20" s="54"/>
      <c r="U20" s="44"/>
      <c r="V20" s="54"/>
      <c r="W20" s="54"/>
      <c r="X20" s="54"/>
    </row>
    <row r="21" spans="1:24" ht="17.850000000000001" customHeight="1" x14ac:dyDescent="0.25">
      <c r="A21" s="26" t="s">
        <v>426</v>
      </c>
      <c r="B21" s="27" t="s">
        <v>1444</v>
      </c>
      <c r="C21" s="27" t="s">
        <v>106</v>
      </c>
      <c r="D21" s="27" t="s">
        <v>42</v>
      </c>
      <c r="E21" s="27" t="s">
        <v>359</v>
      </c>
      <c r="F21" s="27" t="s">
        <v>616</v>
      </c>
      <c r="G21" s="27" t="s">
        <v>1490</v>
      </c>
      <c r="H21" s="27" t="s">
        <v>554</v>
      </c>
      <c r="I21" s="27" t="s">
        <v>415</v>
      </c>
      <c r="J21" s="27" t="s">
        <v>43</v>
      </c>
      <c r="K21" s="27" t="s">
        <v>993</v>
      </c>
      <c r="M21" s="27" t="s">
        <v>82</v>
      </c>
      <c r="N21" s="27" t="s">
        <v>6</v>
      </c>
      <c r="R21" s="27" t="s">
        <v>733</v>
      </c>
      <c r="S21" s="47" t="s">
        <v>1444</v>
      </c>
      <c r="T21" s="45" t="s">
        <v>1025</v>
      </c>
      <c r="U21" s="43">
        <v>5</v>
      </c>
      <c r="V21" s="42" t="s">
        <v>1026</v>
      </c>
      <c r="W21" s="42" t="s">
        <v>1027</v>
      </c>
      <c r="X21" s="42" t="s">
        <v>1029</v>
      </c>
    </row>
    <row r="22" spans="1:24" ht="17.850000000000001" customHeight="1" x14ac:dyDescent="0.25">
      <c r="A22" s="26" t="s">
        <v>426</v>
      </c>
      <c r="B22" s="27" t="s">
        <v>1444</v>
      </c>
      <c r="C22" s="27" t="s">
        <v>107</v>
      </c>
      <c r="D22" s="27" t="s">
        <v>44</v>
      </c>
      <c r="E22" s="27" t="s">
        <v>360</v>
      </c>
      <c r="F22" s="27" t="s">
        <v>613</v>
      </c>
      <c r="G22" s="27" t="s">
        <v>1491</v>
      </c>
      <c r="H22" s="27" t="s">
        <v>496</v>
      </c>
      <c r="I22" s="27" t="s">
        <v>415</v>
      </c>
      <c r="J22" s="27" t="s">
        <v>45</v>
      </c>
      <c r="K22" s="27" t="s">
        <v>996</v>
      </c>
      <c r="M22" s="27" t="s">
        <v>82</v>
      </c>
      <c r="N22" s="27" t="s">
        <v>6</v>
      </c>
      <c r="R22" s="27" t="s">
        <v>733</v>
      </c>
      <c r="U22" s="40"/>
    </row>
    <row r="23" spans="1:24" ht="17.850000000000001" customHeight="1" x14ac:dyDescent="0.25">
      <c r="A23" s="26" t="s">
        <v>426</v>
      </c>
      <c r="B23" s="27" t="s">
        <v>1444</v>
      </c>
      <c r="C23" s="27" t="s">
        <v>108</v>
      </c>
      <c r="D23" s="27" t="s">
        <v>942</v>
      </c>
      <c r="E23" s="27" t="s">
        <v>384</v>
      </c>
      <c r="F23" s="27" t="s">
        <v>1492</v>
      </c>
      <c r="G23" s="27" t="s">
        <v>82</v>
      </c>
      <c r="H23" s="27" t="s">
        <v>497</v>
      </c>
      <c r="I23" s="27" t="s">
        <v>415</v>
      </c>
      <c r="J23" s="27" t="s">
        <v>1722</v>
      </c>
      <c r="K23" s="27" t="s">
        <v>901</v>
      </c>
      <c r="M23" s="27" t="s">
        <v>82</v>
      </c>
      <c r="N23" s="27" t="s">
        <v>6</v>
      </c>
      <c r="R23" s="27" t="s">
        <v>733</v>
      </c>
      <c r="U23" s="40"/>
    </row>
    <row r="24" spans="1:24" ht="17.850000000000001" customHeight="1" x14ac:dyDescent="0.25">
      <c r="A24" s="26" t="s">
        <v>426</v>
      </c>
      <c r="B24" s="27" t="s">
        <v>1444</v>
      </c>
      <c r="C24" s="27" t="s">
        <v>109</v>
      </c>
      <c r="D24" s="27" t="s">
        <v>942</v>
      </c>
      <c r="E24" s="27" t="s">
        <v>361</v>
      </c>
      <c r="F24" s="27" t="s">
        <v>1493</v>
      </c>
      <c r="G24" s="27" t="s">
        <v>1494</v>
      </c>
      <c r="H24" s="27" t="s">
        <v>498</v>
      </c>
      <c r="I24" s="27" t="s">
        <v>415</v>
      </c>
      <c r="J24" s="27" t="s">
        <v>943</v>
      </c>
      <c r="K24" s="27" t="s">
        <v>901</v>
      </c>
      <c r="M24" s="27" t="s">
        <v>82</v>
      </c>
      <c r="N24" s="27" t="s">
        <v>6</v>
      </c>
      <c r="R24" s="27" t="s">
        <v>733</v>
      </c>
      <c r="U24" s="40"/>
    </row>
    <row r="25" spans="1:24" ht="17.850000000000001" customHeight="1" x14ac:dyDescent="0.25">
      <c r="A25" s="26" t="s">
        <v>426</v>
      </c>
      <c r="B25" s="27" t="s">
        <v>1444</v>
      </c>
      <c r="C25" s="27" t="s">
        <v>110</v>
      </c>
      <c r="D25" s="27" t="s">
        <v>944</v>
      </c>
      <c r="E25" s="27" t="s">
        <v>362</v>
      </c>
      <c r="F25" s="27" t="s">
        <v>85</v>
      </c>
      <c r="G25" s="27" t="s">
        <v>1495</v>
      </c>
      <c r="H25" s="27" t="s">
        <v>606</v>
      </c>
      <c r="I25" s="27" t="s">
        <v>415</v>
      </c>
      <c r="J25" s="27" t="s">
        <v>46</v>
      </c>
      <c r="K25" s="27" t="s">
        <v>900</v>
      </c>
      <c r="M25" s="27" t="s">
        <v>82</v>
      </c>
      <c r="N25" s="27" t="s">
        <v>287</v>
      </c>
      <c r="R25" s="27" t="s">
        <v>733</v>
      </c>
      <c r="U25" s="40"/>
    </row>
    <row r="26" spans="1:24" ht="17.850000000000001" customHeight="1" x14ac:dyDescent="0.25">
      <c r="A26" s="26" t="s">
        <v>426</v>
      </c>
      <c r="B26" s="27" t="s">
        <v>1444</v>
      </c>
      <c r="C26" s="27" t="s">
        <v>111</v>
      </c>
      <c r="D26" s="27" t="s">
        <v>47</v>
      </c>
      <c r="E26" s="27" t="s">
        <v>363</v>
      </c>
      <c r="F26" s="27" t="s">
        <v>1496</v>
      </c>
      <c r="G26" s="27" t="s">
        <v>1484</v>
      </c>
      <c r="H26" s="27" t="s">
        <v>491</v>
      </c>
      <c r="I26" s="27" t="s">
        <v>415</v>
      </c>
      <c r="J26" s="27" t="s">
        <v>48</v>
      </c>
      <c r="K26" s="27" t="s">
        <v>899</v>
      </c>
      <c r="M26" s="27" t="s">
        <v>82</v>
      </c>
      <c r="N26" s="27" t="s">
        <v>6</v>
      </c>
      <c r="R26" s="27" t="s">
        <v>733</v>
      </c>
      <c r="S26" s="47" t="s">
        <v>1444</v>
      </c>
      <c r="T26" s="42" t="s">
        <v>1030</v>
      </c>
      <c r="U26" s="43">
        <v>1</v>
      </c>
      <c r="V26" s="42" t="s">
        <v>1026</v>
      </c>
      <c r="W26" s="42" t="s">
        <v>1027</v>
      </c>
      <c r="X26" s="42" t="s">
        <v>1031</v>
      </c>
    </row>
    <row r="27" spans="1:24" ht="17.850000000000001" customHeight="1" x14ac:dyDescent="0.25">
      <c r="A27" s="26" t="s">
        <v>426</v>
      </c>
      <c r="B27" s="27" t="s">
        <v>1444</v>
      </c>
      <c r="C27" s="27" t="s">
        <v>112</v>
      </c>
      <c r="D27" s="27" t="s">
        <v>49</v>
      </c>
      <c r="E27" s="27" t="s">
        <v>364</v>
      </c>
      <c r="F27" s="27" t="s">
        <v>1497</v>
      </c>
      <c r="G27" s="27" t="s">
        <v>1498</v>
      </c>
      <c r="H27" s="27" t="s">
        <v>499</v>
      </c>
      <c r="I27" s="27" t="s">
        <v>415</v>
      </c>
      <c r="J27" s="27" t="s">
        <v>50</v>
      </c>
      <c r="K27" s="27" t="s">
        <v>898</v>
      </c>
      <c r="M27" s="27" t="s">
        <v>82</v>
      </c>
      <c r="N27" s="27" t="s">
        <v>6</v>
      </c>
      <c r="R27" s="27" t="s">
        <v>733</v>
      </c>
      <c r="S27" s="47" t="s">
        <v>1444</v>
      </c>
      <c r="T27" s="42" t="s">
        <v>1030</v>
      </c>
      <c r="U27" s="43">
        <v>2</v>
      </c>
      <c r="V27" s="42" t="s">
        <v>1026</v>
      </c>
      <c r="W27" s="42" t="s">
        <v>1027</v>
      </c>
      <c r="X27" s="42" t="s">
        <v>1031</v>
      </c>
    </row>
    <row r="28" spans="1:24" ht="17.850000000000001" customHeight="1" x14ac:dyDescent="0.25">
      <c r="A28" s="26" t="s">
        <v>426</v>
      </c>
      <c r="B28" s="27" t="s">
        <v>1444</v>
      </c>
      <c r="C28" s="27" t="s">
        <v>113</v>
      </c>
      <c r="D28" s="27" t="s">
        <v>945</v>
      </c>
      <c r="E28" s="27" t="s">
        <v>365</v>
      </c>
      <c r="F28" s="27" t="s">
        <v>1499</v>
      </c>
      <c r="G28" s="27" t="s">
        <v>82</v>
      </c>
      <c r="H28" s="27" t="s">
        <v>500</v>
      </c>
      <c r="I28" s="27" t="s">
        <v>415</v>
      </c>
      <c r="J28" s="27" t="s">
        <v>51</v>
      </c>
      <c r="K28" s="27" t="s">
        <v>895</v>
      </c>
      <c r="M28" s="27" t="s">
        <v>82</v>
      </c>
      <c r="N28" s="27" t="s">
        <v>6</v>
      </c>
      <c r="P28" s="27" t="s">
        <v>671</v>
      </c>
      <c r="Q28" s="27">
        <v>1</v>
      </c>
      <c r="R28" s="27" t="s">
        <v>733</v>
      </c>
      <c r="S28" s="47" t="s">
        <v>1444</v>
      </c>
      <c r="T28" s="45" t="s">
        <v>1025</v>
      </c>
      <c r="U28" s="43">
        <v>6</v>
      </c>
      <c r="V28" s="42" t="s">
        <v>1026</v>
      </c>
      <c r="W28" s="42" t="s">
        <v>1027</v>
      </c>
      <c r="X28" s="42" t="s">
        <v>1032</v>
      </c>
    </row>
    <row r="29" spans="1:24" ht="17.850000000000001" customHeight="1" x14ac:dyDescent="0.25">
      <c r="A29" s="26" t="s">
        <v>426</v>
      </c>
      <c r="B29" s="27" t="s">
        <v>1444</v>
      </c>
      <c r="C29" s="27" t="s">
        <v>114</v>
      </c>
      <c r="D29" s="27" t="s">
        <v>946</v>
      </c>
      <c r="E29" s="27" t="s">
        <v>366</v>
      </c>
      <c r="F29" s="27" t="s">
        <v>1500</v>
      </c>
      <c r="G29" s="27" t="s">
        <v>99</v>
      </c>
      <c r="H29" s="27" t="s">
        <v>501</v>
      </c>
      <c r="I29" s="27" t="s">
        <v>415</v>
      </c>
      <c r="J29" s="27" t="s">
        <v>52</v>
      </c>
      <c r="K29" s="27" t="s">
        <v>897</v>
      </c>
      <c r="L29" s="27" t="s">
        <v>994</v>
      </c>
      <c r="M29" s="27" t="s">
        <v>82</v>
      </c>
      <c r="N29" s="27" t="s">
        <v>6</v>
      </c>
      <c r="R29" s="27" t="s">
        <v>733</v>
      </c>
      <c r="S29" s="47" t="s">
        <v>1444</v>
      </c>
      <c r="T29" s="45" t="s">
        <v>1025</v>
      </c>
      <c r="U29" s="43">
        <v>8</v>
      </c>
      <c r="V29" s="42" t="s">
        <v>1026</v>
      </c>
      <c r="W29" s="42" t="s">
        <v>1027</v>
      </c>
      <c r="X29" s="42" t="s">
        <v>1032</v>
      </c>
    </row>
    <row r="30" spans="1:24" ht="17.850000000000001" customHeight="1" x14ac:dyDescent="0.25">
      <c r="A30" s="26" t="s">
        <v>426</v>
      </c>
      <c r="B30" s="27" t="s">
        <v>1444</v>
      </c>
      <c r="C30" s="27" t="s">
        <v>115</v>
      </c>
      <c r="D30" s="27" t="s">
        <v>947</v>
      </c>
      <c r="E30" s="27" t="s">
        <v>367</v>
      </c>
      <c r="F30" s="27" t="s">
        <v>1501</v>
      </c>
      <c r="G30" s="27" t="s">
        <v>82</v>
      </c>
      <c r="H30" s="27" t="s">
        <v>502</v>
      </c>
      <c r="I30" s="27" t="s">
        <v>415</v>
      </c>
      <c r="J30" s="27" t="s">
        <v>1037</v>
      </c>
      <c r="K30" s="27" t="s">
        <v>896</v>
      </c>
      <c r="M30" s="27" t="s">
        <v>82</v>
      </c>
      <c r="N30" s="27" t="s">
        <v>6</v>
      </c>
      <c r="R30" s="27" t="s">
        <v>733</v>
      </c>
      <c r="U30" s="40"/>
    </row>
    <row r="31" spans="1:24" ht="17.850000000000001" customHeight="1" x14ac:dyDescent="0.25">
      <c r="A31" s="26" t="s">
        <v>426</v>
      </c>
      <c r="B31" s="27" t="s">
        <v>1444</v>
      </c>
      <c r="C31" s="27" t="s">
        <v>116</v>
      </c>
      <c r="D31" s="27" t="s">
        <v>947</v>
      </c>
      <c r="E31" s="27" t="s">
        <v>367</v>
      </c>
      <c r="F31" s="27" t="s">
        <v>1501</v>
      </c>
      <c r="G31" s="27" t="s">
        <v>1502</v>
      </c>
      <c r="H31" s="27" t="s">
        <v>503</v>
      </c>
      <c r="I31" s="27" t="s">
        <v>415</v>
      </c>
      <c r="J31" s="27" t="s">
        <v>948</v>
      </c>
      <c r="K31" s="27" t="s">
        <v>896</v>
      </c>
      <c r="M31" s="27" t="s">
        <v>82</v>
      </c>
      <c r="N31" s="27" t="s">
        <v>6</v>
      </c>
      <c r="R31" s="27" t="s">
        <v>733</v>
      </c>
      <c r="U31" s="40"/>
    </row>
    <row r="32" spans="1:24" ht="17.850000000000001" customHeight="1" x14ac:dyDescent="0.25">
      <c r="A32" s="26" t="s">
        <v>426</v>
      </c>
      <c r="B32" s="27" t="s">
        <v>1444</v>
      </c>
      <c r="C32" s="27" t="s">
        <v>117</v>
      </c>
      <c r="D32" s="27" t="s">
        <v>53</v>
      </c>
      <c r="E32" s="27" t="s">
        <v>368</v>
      </c>
      <c r="F32" s="27" t="s">
        <v>1043</v>
      </c>
      <c r="G32" s="27" t="s">
        <v>1042</v>
      </c>
      <c r="H32" s="30" t="s">
        <v>1033</v>
      </c>
      <c r="I32" s="27" t="s">
        <v>415</v>
      </c>
      <c r="J32" s="27" t="s">
        <v>54</v>
      </c>
      <c r="K32" s="27" t="s">
        <v>1041</v>
      </c>
      <c r="M32" s="27" t="s">
        <v>82</v>
      </c>
      <c r="N32" s="27" t="s">
        <v>287</v>
      </c>
      <c r="R32" s="27" t="s">
        <v>733</v>
      </c>
      <c r="U32" s="40"/>
    </row>
    <row r="33" spans="1:24" ht="17.850000000000001" customHeight="1" x14ac:dyDescent="0.25">
      <c r="A33" s="26" t="s">
        <v>426</v>
      </c>
      <c r="B33" s="27" t="s">
        <v>1444</v>
      </c>
      <c r="C33" s="27" t="s">
        <v>121</v>
      </c>
      <c r="D33" s="27" t="s">
        <v>55</v>
      </c>
      <c r="E33" s="27" t="s">
        <v>368</v>
      </c>
      <c r="F33" s="30" t="s">
        <v>1038</v>
      </c>
      <c r="G33" s="30" t="s">
        <v>1039</v>
      </c>
      <c r="H33" s="30" t="s">
        <v>1033</v>
      </c>
      <c r="I33" s="27" t="s">
        <v>415</v>
      </c>
      <c r="J33" s="27" t="s">
        <v>86</v>
      </c>
      <c r="K33" s="27" t="s">
        <v>1040</v>
      </c>
      <c r="M33" s="27" t="s">
        <v>82</v>
      </c>
      <c r="N33" s="27" t="s">
        <v>6</v>
      </c>
      <c r="R33" s="27" t="s">
        <v>733</v>
      </c>
      <c r="S33" s="47" t="s">
        <v>1444</v>
      </c>
      <c r="T33" s="45" t="s">
        <v>1025</v>
      </c>
      <c r="U33" s="43">
        <v>7</v>
      </c>
      <c r="V33" s="42" t="s">
        <v>1026</v>
      </c>
      <c r="W33" s="42" t="s">
        <v>1027</v>
      </c>
      <c r="X33" s="42" t="s">
        <v>1032</v>
      </c>
    </row>
    <row r="34" spans="1:24" ht="17.850000000000001" customHeight="1" x14ac:dyDescent="0.25">
      <c r="A34" s="26" t="s">
        <v>426</v>
      </c>
      <c r="B34" s="27" t="s">
        <v>1444</v>
      </c>
      <c r="C34" s="27" t="s">
        <v>118</v>
      </c>
      <c r="D34" s="27" t="s">
        <v>949</v>
      </c>
      <c r="E34" s="27" t="s">
        <v>369</v>
      </c>
      <c r="F34" s="27" t="s">
        <v>1503</v>
      </c>
      <c r="G34" s="27" t="s">
        <v>82</v>
      </c>
      <c r="H34" s="27" t="s">
        <v>504</v>
      </c>
      <c r="I34" s="27" t="s">
        <v>415</v>
      </c>
      <c r="J34" s="27" t="s">
        <v>56</v>
      </c>
      <c r="K34" s="27" t="s">
        <v>895</v>
      </c>
      <c r="M34" s="27" t="s">
        <v>82</v>
      </c>
      <c r="N34" s="27" t="s">
        <v>6</v>
      </c>
      <c r="R34" s="27" t="s">
        <v>733</v>
      </c>
      <c r="U34" s="40"/>
    </row>
    <row r="35" spans="1:24" ht="17.850000000000001" customHeight="1" x14ac:dyDescent="0.25">
      <c r="A35" s="26" t="s">
        <v>426</v>
      </c>
      <c r="B35" s="27" t="s">
        <v>1444</v>
      </c>
      <c r="C35" s="27" t="s">
        <v>119</v>
      </c>
      <c r="D35" s="27" t="s">
        <v>949</v>
      </c>
      <c r="E35" s="27" t="s">
        <v>369</v>
      </c>
      <c r="F35" s="27" t="s">
        <v>1504</v>
      </c>
      <c r="G35" s="27" t="s">
        <v>82</v>
      </c>
      <c r="H35" s="27" t="s">
        <v>505</v>
      </c>
      <c r="I35" s="27" t="s">
        <v>415</v>
      </c>
      <c r="J35" s="27" t="s">
        <v>57</v>
      </c>
      <c r="K35" s="27" t="s">
        <v>894</v>
      </c>
      <c r="M35" s="27" t="s">
        <v>82</v>
      </c>
      <c r="N35" s="27" t="s">
        <v>6</v>
      </c>
      <c r="R35" s="27" t="s">
        <v>733</v>
      </c>
      <c r="U35" s="40"/>
    </row>
    <row r="36" spans="1:24" ht="17.850000000000001" customHeight="1" x14ac:dyDescent="0.25">
      <c r="A36" s="26" t="s">
        <v>426</v>
      </c>
      <c r="B36" s="27" t="s">
        <v>1444</v>
      </c>
      <c r="C36" s="27" t="s">
        <v>935</v>
      </c>
      <c r="D36" s="27" t="s">
        <v>950</v>
      </c>
      <c r="E36" s="27" t="s">
        <v>636</v>
      </c>
      <c r="F36" s="27" t="s">
        <v>1505</v>
      </c>
      <c r="G36" s="27" t="s">
        <v>99</v>
      </c>
      <c r="H36" s="27" t="s">
        <v>637</v>
      </c>
      <c r="I36" s="27" t="s">
        <v>415</v>
      </c>
      <c r="J36" s="27" t="s">
        <v>638</v>
      </c>
      <c r="K36" s="27" t="s">
        <v>897</v>
      </c>
      <c r="L36" s="27" t="s">
        <v>995</v>
      </c>
      <c r="M36" s="27" t="s">
        <v>82</v>
      </c>
      <c r="N36" s="27" t="s">
        <v>6</v>
      </c>
      <c r="R36" s="27" t="s">
        <v>733</v>
      </c>
      <c r="S36" s="47" t="s">
        <v>1444</v>
      </c>
      <c r="T36" s="45" t="s">
        <v>1025</v>
      </c>
      <c r="U36" s="43">
        <v>1</v>
      </c>
      <c r="V36" s="42" t="s">
        <v>1026</v>
      </c>
      <c r="W36" s="42" t="s">
        <v>1027</v>
      </c>
      <c r="X36" s="42" t="s">
        <v>1034</v>
      </c>
    </row>
    <row r="37" spans="1:24" ht="17.850000000000001" customHeight="1" x14ac:dyDescent="0.25">
      <c r="A37" s="26" t="s">
        <v>426</v>
      </c>
      <c r="B37" s="27" t="s">
        <v>1444</v>
      </c>
      <c r="C37" s="27" t="s">
        <v>120</v>
      </c>
      <c r="D37" s="27" t="s">
        <v>706</v>
      </c>
      <c r="E37" s="27" t="s">
        <v>370</v>
      </c>
      <c r="F37" s="27" t="s">
        <v>1506</v>
      </c>
      <c r="G37" s="27" t="s">
        <v>82</v>
      </c>
      <c r="H37" s="27" t="s">
        <v>506</v>
      </c>
      <c r="I37" s="27" t="s">
        <v>415</v>
      </c>
      <c r="J37" s="27" t="s">
        <v>58</v>
      </c>
      <c r="K37" s="27" t="s">
        <v>951</v>
      </c>
      <c r="M37" s="27" t="s">
        <v>82</v>
      </c>
      <c r="N37" s="27" t="s">
        <v>6</v>
      </c>
      <c r="R37" s="27" t="s">
        <v>733</v>
      </c>
      <c r="S37" s="47" t="s">
        <v>1444</v>
      </c>
      <c r="T37" s="42" t="s">
        <v>1035</v>
      </c>
      <c r="U37" s="43">
        <v>1</v>
      </c>
      <c r="V37" s="42" t="s">
        <v>1026</v>
      </c>
      <c r="W37" s="42" t="s">
        <v>1027</v>
      </c>
      <c r="X37" s="42" t="s">
        <v>1036</v>
      </c>
    </row>
    <row r="38" spans="1:24" ht="17.850000000000001" customHeight="1" x14ac:dyDescent="0.25">
      <c r="A38" s="26" t="s">
        <v>426</v>
      </c>
      <c r="B38" s="27" t="s">
        <v>1444</v>
      </c>
      <c r="C38" s="27" t="s">
        <v>122</v>
      </c>
      <c r="D38" s="27" t="s">
        <v>707</v>
      </c>
      <c r="E38" s="27" t="s">
        <v>371</v>
      </c>
      <c r="F38" s="27" t="s">
        <v>1507</v>
      </c>
      <c r="G38" s="27" t="s">
        <v>1508</v>
      </c>
      <c r="H38" s="27" t="s">
        <v>507</v>
      </c>
      <c r="I38" s="27" t="s">
        <v>415</v>
      </c>
      <c r="J38" s="27" t="s">
        <v>59</v>
      </c>
      <c r="K38" s="27" t="s">
        <v>951</v>
      </c>
      <c r="M38" s="27" t="s">
        <v>82</v>
      </c>
      <c r="N38" s="27" t="s">
        <v>6</v>
      </c>
      <c r="R38" s="27" t="s">
        <v>733</v>
      </c>
      <c r="S38" s="47" t="s">
        <v>1444</v>
      </c>
      <c r="T38" s="42" t="s">
        <v>1035</v>
      </c>
      <c r="U38" s="43">
        <v>2</v>
      </c>
      <c r="V38" s="42" t="s">
        <v>1026</v>
      </c>
      <c r="W38" s="42" t="s">
        <v>1027</v>
      </c>
      <c r="X38" s="42" t="s">
        <v>1036</v>
      </c>
    </row>
    <row r="39" spans="1:24" ht="17.850000000000001" customHeight="1" x14ac:dyDescent="0.25">
      <c r="A39" s="26" t="s">
        <v>426</v>
      </c>
      <c r="B39" s="27" t="s">
        <v>1448</v>
      </c>
      <c r="C39" s="27" t="s">
        <v>123</v>
      </c>
      <c r="D39" s="27" t="s">
        <v>1715</v>
      </c>
      <c r="E39" s="27" t="s">
        <v>372</v>
      </c>
      <c r="F39" s="27" t="s">
        <v>1509</v>
      </c>
      <c r="G39" s="27" t="s">
        <v>99</v>
      </c>
      <c r="H39" s="27" t="s">
        <v>508</v>
      </c>
      <c r="I39" s="27" t="s">
        <v>415</v>
      </c>
      <c r="J39" s="27" t="s">
        <v>61</v>
      </c>
      <c r="K39" s="27" t="s">
        <v>970</v>
      </c>
      <c r="M39" s="27" t="s">
        <v>82</v>
      </c>
      <c r="N39" s="27" t="s">
        <v>668</v>
      </c>
      <c r="P39" s="27" t="s">
        <v>423</v>
      </c>
      <c r="Q39" s="27" t="s">
        <v>424</v>
      </c>
      <c r="R39" s="27" t="s">
        <v>733</v>
      </c>
      <c r="S39" s="47" t="s">
        <v>1442</v>
      </c>
      <c r="T39" s="42" t="s">
        <v>1044</v>
      </c>
      <c r="U39" s="43">
        <v>1</v>
      </c>
      <c r="V39" s="42" t="s">
        <v>1045</v>
      </c>
      <c r="W39" s="42" t="s">
        <v>1046</v>
      </c>
      <c r="X39" s="46" t="s">
        <v>1047</v>
      </c>
    </row>
    <row r="40" spans="1:24" ht="17.850000000000001" customHeight="1" x14ac:dyDescent="0.25">
      <c r="A40" s="26" t="s">
        <v>426</v>
      </c>
      <c r="B40" s="27" t="s">
        <v>1448</v>
      </c>
      <c r="C40" s="27" t="s">
        <v>124</v>
      </c>
      <c r="D40" s="27" t="s">
        <v>658</v>
      </c>
      <c r="E40" s="27" t="s">
        <v>373</v>
      </c>
      <c r="F40" s="27" t="s">
        <v>1510</v>
      </c>
      <c r="G40" s="27" t="s">
        <v>1511</v>
      </c>
      <c r="H40" s="27" t="s">
        <v>509</v>
      </c>
      <c r="I40" s="27" t="s">
        <v>415</v>
      </c>
      <c r="J40" s="27" t="s">
        <v>62</v>
      </c>
      <c r="K40" s="27" t="s">
        <v>63</v>
      </c>
      <c r="M40" s="27" t="s">
        <v>82</v>
      </c>
      <c r="N40" s="27" t="s">
        <v>6</v>
      </c>
      <c r="R40" s="27" t="s">
        <v>733</v>
      </c>
      <c r="U40" s="40"/>
    </row>
    <row r="41" spans="1:24" ht="17.850000000000001" customHeight="1" x14ac:dyDescent="0.25">
      <c r="A41" s="26" t="s">
        <v>426</v>
      </c>
      <c r="B41" s="27" t="s">
        <v>1448</v>
      </c>
      <c r="C41" s="27" t="s">
        <v>125</v>
      </c>
      <c r="D41" s="27" t="s">
        <v>659</v>
      </c>
      <c r="E41" s="27" t="s">
        <v>374</v>
      </c>
      <c r="F41" s="27" t="s">
        <v>1512</v>
      </c>
      <c r="G41" s="27" t="s">
        <v>1513</v>
      </c>
      <c r="H41" s="27" t="s">
        <v>510</v>
      </c>
      <c r="I41" s="27" t="s">
        <v>415</v>
      </c>
      <c r="J41" s="27" t="s">
        <v>64</v>
      </c>
      <c r="K41" s="27" t="s">
        <v>971</v>
      </c>
      <c r="M41" s="27" t="s">
        <v>82</v>
      </c>
      <c r="N41" s="27" t="s">
        <v>6</v>
      </c>
      <c r="R41" s="27" t="s">
        <v>733</v>
      </c>
      <c r="S41" s="47" t="s">
        <v>1442</v>
      </c>
      <c r="T41" s="42" t="s">
        <v>1044</v>
      </c>
      <c r="U41" s="43">
        <v>2</v>
      </c>
      <c r="V41" s="42" t="s">
        <v>1045</v>
      </c>
      <c r="W41" s="42" t="s">
        <v>1046</v>
      </c>
    </row>
    <row r="42" spans="1:24" ht="17.850000000000001" customHeight="1" x14ac:dyDescent="0.25">
      <c r="A42" s="26" t="s">
        <v>426</v>
      </c>
      <c r="B42" s="27" t="s">
        <v>1448</v>
      </c>
      <c r="C42" s="27" t="s">
        <v>126</v>
      </c>
      <c r="D42" s="27" t="s">
        <v>65</v>
      </c>
      <c r="E42" s="27" t="s">
        <v>375</v>
      </c>
      <c r="F42" s="27" t="s">
        <v>88</v>
      </c>
      <c r="G42" s="27" t="s">
        <v>1514</v>
      </c>
      <c r="H42" s="27" t="s">
        <v>511</v>
      </c>
      <c r="I42" s="27" t="s">
        <v>415</v>
      </c>
      <c r="J42" s="27" t="s">
        <v>66</v>
      </c>
      <c r="K42" s="27" t="s">
        <v>891</v>
      </c>
      <c r="M42" s="27" t="s">
        <v>82</v>
      </c>
      <c r="N42" s="27" t="s">
        <v>287</v>
      </c>
      <c r="R42" s="27" t="s">
        <v>733</v>
      </c>
      <c r="U42" s="40"/>
    </row>
    <row r="43" spans="1:24" ht="17.850000000000001" customHeight="1" x14ac:dyDescent="0.25">
      <c r="A43" s="26" t="s">
        <v>426</v>
      </c>
      <c r="B43" s="27" t="s">
        <v>1448</v>
      </c>
      <c r="C43" s="27" t="s">
        <v>127</v>
      </c>
      <c r="D43" s="27" t="s">
        <v>67</v>
      </c>
      <c r="E43" s="27" t="s">
        <v>376</v>
      </c>
      <c r="F43" s="27" t="s">
        <v>89</v>
      </c>
      <c r="G43" s="27" t="s">
        <v>1514</v>
      </c>
      <c r="H43" s="27" t="s">
        <v>512</v>
      </c>
      <c r="I43" s="27" t="s">
        <v>415</v>
      </c>
      <c r="J43" s="27" t="s">
        <v>68</v>
      </c>
      <c r="K43" s="27" t="s">
        <v>889</v>
      </c>
      <c r="M43" s="27" t="s">
        <v>82</v>
      </c>
      <c r="N43" s="27" t="s">
        <v>287</v>
      </c>
      <c r="R43" s="27" t="s">
        <v>733</v>
      </c>
      <c r="S43" s="47" t="s">
        <v>1442</v>
      </c>
      <c r="T43" s="42" t="s">
        <v>1044</v>
      </c>
      <c r="U43" s="43">
        <v>3</v>
      </c>
      <c r="V43" s="42" t="s">
        <v>1045</v>
      </c>
      <c r="W43" s="42" t="s">
        <v>1046</v>
      </c>
    </row>
    <row r="44" spans="1:24" ht="17.850000000000001" customHeight="1" x14ac:dyDescent="0.25">
      <c r="A44" s="26" t="s">
        <v>426</v>
      </c>
      <c r="B44" s="27" t="s">
        <v>1448</v>
      </c>
      <c r="C44" s="27" t="s">
        <v>881</v>
      </c>
      <c r="D44" s="27" t="s">
        <v>708</v>
      </c>
      <c r="E44" s="27" t="s">
        <v>376</v>
      </c>
      <c r="F44" s="27" t="s">
        <v>1515</v>
      </c>
      <c r="G44" s="27" t="s">
        <v>1516</v>
      </c>
      <c r="H44" s="27" t="s">
        <v>444</v>
      </c>
      <c r="I44" s="27" t="s">
        <v>415</v>
      </c>
      <c r="J44" s="27" t="s">
        <v>1716</v>
      </c>
      <c r="K44" s="27" t="s">
        <v>69</v>
      </c>
      <c r="M44" s="27" t="s">
        <v>82</v>
      </c>
      <c r="N44" s="27" t="s">
        <v>6</v>
      </c>
      <c r="R44" s="27" t="s">
        <v>733</v>
      </c>
      <c r="U44" s="40"/>
    </row>
    <row r="45" spans="1:24" ht="17.850000000000001" customHeight="1" x14ac:dyDescent="0.25">
      <c r="A45" s="26" t="s">
        <v>426</v>
      </c>
      <c r="B45" s="27" t="s">
        <v>1448</v>
      </c>
      <c r="C45" s="27" t="s">
        <v>882</v>
      </c>
      <c r="D45" s="27" t="s">
        <v>708</v>
      </c>
      <c r="E45" s="27" t="s">
        <v>376</v>
      </c>
      <c r="F45" s="27" t="s">
        <v>1517</v>
      </c>
      <c r="G45" s="27" t="s">
        <v>1516</v>
      </c>
      <c r="H45" s="27" t="s">
        <v>444</v>
      </c>
      <c r="I45" s="27" t="s">
        <v>415</v>
      </c>
      <c r="J45" s="27" t="s">
        <v>1717</v>
      </c>
      <c r="K45" s="27" t="s">
        <v>70</v>
      </c>
      <c r="M45" s="27" t="s">
        <v>82</v>
      </c>
      <c r="N45" s="27" t="s">
        <v>6</v>
      </c>
      <c r="R45" s="27" t="s">
        <v>733</v>
      </c>
      <c r="U45" s="40"/>
    </row>
    <row r="46" spans="1:24" ht="17.850000000000001" customHeight="1" x14ac:dyDescent="0.25">
      <c r="A46" s="26" t="s">
        <v>426</v>
      </c>
      <c r="B46" s="27" t="s">
        <v>1448</v>
      </c>
      <c r="C46" s="27" t="s">
        <v>883</v>
      </c>
      <c r="D46" s="27" t="s">
        <v>708</v>
      </c>
      <c r="E46" s="27" t="s">
        <v>376</v>
      </c>
      <c r="F46" s="27" t="s">
        <v>1518</v>
      </c>
      <c r="G46" s="27" t="s">
        <v>1516</v>
      </c>
      <c r="H46" s="27" t="s">
        <v>444</v>
      </c>
      <c r="I46" s="27" t="s">
        <v>415</v>
      </c>
      <c r="J46" s="27" t="s">
        <v>1718</v>
      </c>
      <c r="K46" s="27" t="s">
        <v>71</v>
      </c>
      <c r="M46" s="27" t="s">
        <v>82</v>
      </c>
      <c r="N46" s="27" t="s">
        <v>6</v>
      </c>
      <c r="R46" s="27" t="s">
        <v>733</v>
      </c>
      <c r="U46" s="40"/>
    </row>
    <row r="47" spans="1:24" ht="17.850000000000001" customHeight="1" x14ac:dyDescent="0.25">
      <c r="A47" s="26" t="s">
        <v>426</v>
      </c>
      <c r="B47" s="27" t="s">
        <v>1448</v>
      </c>
      <c r="C47" s="27" t="s">
        <v>849</v>
      </c>
      <c r="D47" s="27" t="s">
        <v>90</v>
      </c>
      <c r="E47" s="27" t="s">
        <v>376</v>
      </c>
      <c r="F47" s="27" t="s">
        <v>1519</v>
      </c>
      <c r="G47" s="27" t="s">
        <v>1520</v>
      </c>
      <c r="H47" s="27" t="s">
        <v>444</v>
      </c>
      <c r="I47" s="27" t="s">
        <v>415</v>
      </c>
      <c r="J47" s="27" t="s">
        <v>91</v>
      </c>
      <c r="K47" s="27" t="s">
        <v>69</v>
      </c>
      <c r="M47" s="27" t="s">
        <v>82</v>
      </c>
      <c r="N47" s="27" t="s">
        <v>6</v>
      </c>
      <c r="R47" s="27" t="s">
        <v>733</v>
      </c>
      <c r="U47" s="40"/>
    </row>
    <row r="48" spans="1:24" ht="17.850000000000001" customHeight="1" x14ac:dyDescent="0.25">
      <c r="A48" s="26" t="s">
        <v>426</v>
      </c>
      <c r="B48" s="27" t="s">
        <v>1448</v>
      </c>
      <c r="C48" s="27" t="s">
        <v>850</v>
      </c>
      <c r="D48" s="27" t="s">
        <v>90</v>
      </c>
      <c r="E48" s="27" t="s">
        <v>376</v>
      </c>
      <c r="F48" s="27" t="s">
        <v>1521</v>
      </c>
      <c r="G48" s="27" t="s">
        <v>1520</v>
      </c>
      <c r="H48" s="27" t="s">
        <v>444</v>
      </c>
      <c r="I48" s="27" t="s">
        <v>415</v>
      </c>
      <c r="J48" s="27" t="s">
        <v>92</v>
      </c>
      <c r="K48" s="27" t="s">
        <v>70</v>
      </c>
      <c r="M48" s="27" t="s">
        <v>82</v>
      </c>
      <c r="N48" s="27" t="s">
        <v>6</v>
      </c>
      <c r="R48" s="27" t="s">
        <v>733</v>
      </c>
      <c r="U48" s="40"/>
    </row>
    <row r="49" spans="1:24" ht="17.850000000000001" customHeight="1" x14ac:dyDescent="0.25">
      <c r="A49" s="26" t="s">
        <v>426</v>
      </c>
      <c r="B49" s="27" t="s">
        <v>1448</v>
      </c>
      <c r="C49" s="27" t="s">
        <v>851</v>
      </c>
      <c r="D49" s="27" t="s">
        <v>90</v>
      </c>
      <c r="E49" s="27" t="s">
        <v>376</v>
      </c>
      <c r="F49" s="27" t="s">
        <v>1522</v>
      </c>
      <c r="G49" s="27" t="s">
        <v>1520</v>
      </c>
      <c r="H49" s="27" t="s">
        <v>444</v>
      </c>
      <c r="I49" s="27" t="s">
        <v>415</v>
      </c>
      <c r="J49" s="27" t="s">
        <v>93</v>
      </c>
      <c r="K49" s="27" t="s">
        <v>71</v>
      </c>
      <c r="M49" s="27" t="s">
        <v>82</v>
      </c>
      <c r="N49" s="27" t="s">
        <v>6</v>
      </c>
      <c r="R49" s="27" t="s">
        <v>733</v>
      </c>
      <c r="U49" s="40"/>
    </row>
    <row r="50" spans="1:24" ht="17.850000000000001" customHeight="1" x14ac:dyDescent="0.25">
      <c r="A50" s="26" t="s">
        <v>426</v>
      </c>
      <c r="B50" s="27" t="s">
        <v>1448</v>
      </c>
      <c r="C50" s="27" t="s">
        <v>128</v>
      </c>
      <c r="D50" s="27" t="s">
        <v>72</v>
      </c>
      <c r="E50" s="27" t="s">
        <v>377</v>
      </c>
      <c r="F50" s="27" t="s">
        <v>94</v>
      </c>
      <c r="G50" s="27" t="s">
        <v>1523</v>
      </c>
      <c r="H50" s="27" t="s">
        <v>513</v>
      </c>
      <c r="I50" s="27" t="s">
        <v>415</v>
      </c>
      <c r="J50" s="27" t="s">
        <v>73</v>
      </c>
      <c r="K50" s="27" t="s">
        <v>892</v>
      </c>
      <c r="M50" s="27" t="s">
        <v>82</v>
      </c>
      <c r="N50" s="27" t="s">
        <v>287</v>
      </c>
      <c r="R50" s="27" t="s">
        <v>733</v>
      </c>
      <c r="U50" s="40"/>
    </row>
    <row r="51" spans="1:24" ht="17.850000000000001" customHeight="1" x14ac:dyDescent="0.25">
      <c r="A51" s="26" t="s">
        <v>426</v>
      </c>
      <c r="B51" s="27" t="s">
        <v>1448</v>
      </c>
      <c r="C51" s="27" t="s">
        <v>129</v>
      </c>
      <c r="D51" s="27" t="s">
        <v>709</v>
      </c>
      <c r="E51" s="27" t="s">
        <v>972</v>
      </c>
      <c r="F51" s="27" t="s">
        <v>96</v>
      </c>
      <c r="G51" s="27" t="s">
        <v>1524</v>
      </c>
      <c r="H51" s="27" t="s">
        <v>906</v>
      </c>
      <c r="I51" s="27" t="s">
        <v>415</v>
      </c>
      <c r="J51" s="27" t="s">
        <v>74</v>
      </c>
      <c r="K51" s="27" t="s">
        <v>75</v>
      </c>
      <c r="M51" s="27" t="s">
        <v>82</v>
      </c>
      <c r="N51" s="27" t="s">
        <v>6</v>
      </c>
      <c r="P51" s="27" t="s">
        <v>689</v>
      </c>
      <c r="Q51" s="27">
        <v>1</v>
      </c>
      <c r="R51" s="27" t="s">
        <v>733</v>
      </c>
      <c r="S51" s="47" t="s">
        <v>1442</v>
      </c>
      <c r="T51" s="42" t="s">
        <v>1087</v>
      </c>
      <c r="U51" s="43">
        <v>1</v>
      </c>
      <c r="V51" s="42" t="s">
        <v>1045</v>
      </c>
      <c r="W51" s="42" t="s">
        <v>1046</v>
      </c>
      <c r="X51" s="46" t="s">
        <v>1088</v>
      </c>
    </row>
    <row r="52" spans="1:24" ht="17.850000000000001" customHeight="1" x14ac:dyDescent="0.25">
      <c r="A52" s="26" t="s">
        <v>426</v>
      </c>
      <c r="B52" s="27" t="s">
        <v>1448</v>
      </c>
      <c r="C52" s="27" t="s">
        <v>130</v>
      </c>
      <c r="D52" s="27" t="s">
        <v>76</v>
      </c>
      <c r="E52" s="27" t="s">
        <v>972</v>
      </c>
      <c r="F52" s="27" t="s">
        <v>95</v>
      </c>
      <c r="G52" s="27" t="s">
        <v>1728</v>
      </c>
      <c r="H52" s="27" t="s">
        <v>514</v>
      </c>
      <c r="I52" s="27" t="s">
        <v>415</v>
      </c>
      <c r="J52" s="27" t="s">
        <v>884</v>
      </c>
      <c r="K52" s="27" t="s">
        <v>893</v>
      </c>
      <c r="M52" s="27" t="s">
        <v>82</v>
      </c>
      <c r="N52" s="27" t="s">
        <v>287</v>
      </c>
      <c r="R52" s="27" t="s">
        <v>733</v>
      </c>
      <c r="T52" s="54"/>
      <c r="U52" s="54"/>
      <c r="V52" s="54"/>
      <c r="W52" s="54"/>
      <c r="X52" s="54"/>
    </row>
    <row r="53" spans="1:24" ht="17.850000000000001" customHeight="1" x14ac:dyDescent="0.25">
      <c r="A53" s="26" t="s">
        <v>426</v>
      </c>
      <c r="B53" s="27" t="s">
        <v>1448</v>
      </c>
      <c r="C53" s="27" t="s">
        <v>131</v>
      </c>
      <c r="D53" s="27" t="s">
        <v>77</v>
      </c>
      <c r="E53" s="27" t="s">
        <v>378</v>
      </c>
      <c r="F53" s="27" t="s">
        <v>1694</v>
      </c>
      <c r="G53" s="27" t="s">
        <v>1525</v>
      </c>
      <c r="H53" s="27" t="s">
        <v>448</v>
      </c>
      <c r="I53" s="27" t="s">
        <v>415</v>
      </c>
      <c r="J53" s="27" t="s">
        <v>78</v>
      </c>
      <c r="K53" s="27" t="s">
        <v>973</v>
      </c>
      <c r="M53" s="27" t="s">
        <v>82</v>
      </c>
      <c r="N53" s="27" t="s">
        <v>6</v>
      </c>
      <c r="R53" s="27" t="s">
        <v>733</v>
      </c>
      <c r="S53" s="47" t="s">
        <v>1442</v>
      </c>
      <c r="T53" s="42" t="s">
        <v>1044</v>
      </c>
      <c r="U53" s="43">
        <v>3</v>
      </c>
      <c r="V53" s="42" t="s">
        <v>1045</v>
      </c>
      <c r="W53" s="42" t="s">
        <v>1046</v>
      </c>
      <c r="X53" s="46" t="s">
        <v>1097</v>
      </c>
    </row>
    <row r="54" spans="1:24" ht="17.850000000000001" customHeight="1" x14ac:dyDescent="0.25">
      <c r="A54" s="26" t="s">
        <v>426</v>
      </c>
      <c r="B54" s="27" t="s">
        <v>1448</v>
      </c>
      <c r="C54" s="27" t="s">
        <v>974</v>
      </c>
      <c r="D54" s="27" t="s">
        <v>79</v>
      </c>
      <c r="E54" s="27" t="s">
        <v>378</v>
      </c>
      <c r="F54" s="27" t="s">
        <v>97</v>
      </c>
      <c r="G54" s="27" t="s">
        <v>1523</v>
      </c>
      <c r="H54" s="27" t="s">
        <v>607</v>
      </c>
      <c r="I54" s="27" t="s">
        <v>415</v>
      </c>
      <c r="J54" s="27" t="s">
        <v>80</v>
      </c>
      <c r="K54" s="27" t="s">
        <v>889</v>
      </c>
      <c r="M54" s="27" t="s">
        <v>82</v>
      </c>
      <c r="N54" s="27" t="s">
        <v>287</v>
      </c>
      <c r="R54" s="27" t="s">
        <v>733</v>
      </c>
    </row>
    <row r="55" spans="1:24" ht="17.25" customHeight="1" x14ac:dyDescent="0.25">
      <c r="A55" s="26" t="s">
        <v>426</v>
      </c>
      <c r="B55" s="27" t="s">
        <v>1448</v>
      </c>
      <c r="C55" s="27" t="s">
        <v>132</v>
      </c>
      <c r="D55" s="27" t="s">
        <v>710</v>
      </c>
      <c r="E55" s="27" t="s">
        <v>975</v>
      </c>
      <c r="F55" s="27" t="s">
        <v>1526</v>
      </c>
      <c r="G55" s="27" t="s">
        <v>1523</v>
      </c>
      <c r="H55" s="27" t="s">
        <v>608</v>
      </c>
      <c r="I55" s="27" t="s">
        <v>415</v>
      </c>
      <c r="J55" s="27" t="s">
        <v>1465</v>
      </c>
      <c r="K55" s="27" t="s">
        <v>1089</v>
      </c>
      <c r="M55" s="27" t="s">
        <v>82</v>
      </c>
      <c r="N55" s="27" t="s">
        <v>6</v>
      </c>
      <c r="R55" s="27" t="s">
        <v>733</v>
      </c>
    </row>
    <row r="56" spans="1:24" s="54" customFormat="1" ht="15.75" x14ac:dyDescent="0.25">
      <c r="A56" s="26" t="s">
        <v>426</v>
      </c>
      <c r="B56" s="27" t="s">
        <v>1448</v>
      </c>
      <c r="C56" s="27" t="s">
        <v>1466</v>
      </c>
      <c r="D56" s="27" t="s">
        <v>1048</v>
      </c>
      <c r="E56" s="27" t="s">
        <v>1049</v>
      </c>
      <c r="F56" s="27" t="s">
        <v>1467</v>
      </c>
      <c r="G56" s="27" t="s">
        <v>1527</v>
      </c>
      <c r="H56" s="27" t="s">
        <v>1050</v>
      </c>
      <c r="I56" s="27" t="s">
        <v>415</v>
      </c>
      <c r="J56" s="27" t="s">
        <v>1051</v>
      </c>
      <c r="K56" s="27" t="s">
        <v>889</v>
      </c>
      <c r="L56" s="27"/>
      <c r="M56" s="27" t="s">
        <v>82</v>
      </c>
      <c r="N56" s="27" t="s">
        <v>287</v>
      </c>
      <c r="O56" s="27"/>
      <c r="P56" s="27"/>
      <c r="Q56" s="27"/>
      <c r="R56" s="27" t="s">
        <v>733</v>
      </c>
      <c r="S56" s="27"/>
      <c r="T56" s="27"/>
      <c r="U56" s="40"/>
      <c r="V56" s="27"/>
      <c r="W56" s="27"/>
      <c r="X56" s="27"/>
    </row>
    <row r="57" spans="1:24" s="54" customFormat="1" ht="15.75" x14ac:dyDescent="0.25">
      <c r="A57" s="26" t="s">
        <v>426</v>
      </c>
      <c r="B57" s="27" t="s">
        <v>1448</v>
      </c>
      <c r="C57" s="27" t="s">
        <v>1052</v>
      </c>
      <c r="D57" s="27" t="s">
        <v>1053</v>
      </c>
      <c r="E57" s="27" t="s">
        <v>1054</v>
      </c>
      <c r="F57" s="27" t="s">
        <v>1055</v>
      </c>
      <c r="G57" s="27" t="s">
        <v>1528</v>
      </c>
      <c r="H57" s="27" t="s">
        <v>1056</v>
      </c>
      <c r="I57" s="27" t="s">
        <v>415</v>
      </c>
      <c r="J57" s="27" t="s">
        <v>1468</v>
      </c>
      <c r="K57" s="27" t="s">
        <v>1057</v>
      </c>
      <c r="L57" s="27"/>
      <c r="M57" s="27" t="s">
        <v>82</v>
      </c>
      <c r="N57" s="27" t="s">
        <v>287</v>
      </c>
      <c r="O57" s="27" t="s">
        <v>1058</v>
      </c>
      <c r="P57" s="27"/>
      <c r="Q57" s="27"/>
      <c r="R57" s="27" t="s">
        <v>733</v>
      </c>
      <c r="S57" s="27"/>
      <c r="T57" s="27"/>
      <c r="U57" s="40"/>
      <c r="V57" s="27"/>
      <c r="W57" s="27"/>
      <c r="X57" s="27"/>
    </row>
    <row r="58" spans="1:24" s="54" customFormat="1" ht="15.75" x14ac:dyDescent="0.25">
      <c r="A58" s="26" t="s">
        <v>426</v>
      </c>
      <c r="B58" s="27" t="s">
        <v>1448</v>
      </c>
      <c r="C58" s="27" t="s">
        <v>1059</v>
      </c>
      <c r="D58" s="27" t="s">
        <v>1060</v>
      </c>
      <c r="E58" s="27" t="s">
        <v>1061</v>
      </c>
      <c r="F58" s="27" t="s">
        <v>1062</v>
      </c>
      <c r="G58" s="27" t="s">
        <v>1529</v>
      </c>
      <c r="H58" s="27" t="s">
        <v>1063</v>
      </c>
      <c r="I58" s="27" t="s">
        <v>415</v>
      </c>
      <c r="J58" s="27" t="s">
        <v>1064</v>
      </c>
      <c r="K58" s="27" t="s">
        <v>1065</v>
      </c>
      <c r="L58" s="27"/>
      <c r="M58" s="27" t="s">
        <v>82</v>
      </c>
      <c r="N58" s="27" t="s">
        <v>287</v>
      </c>
      <c r="O58" s="27" t="s">
        <v>1066</v>
      </c>
      <c r="P58" s="27"/>
      <c r="Q58" s="27"/>
      <c r="R58" s="27" t="s">
        <v>733</v>
      </c>
      <c r="S58" s="27"/>
      <c r="T58" s="27"/>
      <c r="U58" s="40"/>
      <c r="V58" s="27"/>
      <c r="W58" s="27"/>
      <c r="X58" s="27"/>
    </row>
    <row r="59" spans="1:24" s="54" customFormat="1" ht="15.75" x14ac:dyDescent="0.25">
      <c r="A59" s="26" t="s">
        <v>426</v>
      </c>
      <c r="B59" s="27" t="s">
        <v>1448</v>
      </c>
      <c r="C59" s="27" t="s">
        <v>1067</v>
      </c>
      <c r="D59" s="27" t="s">
        <v>1068</v>
      </c>
      <c r="E59" s="27" t="s">
        <v>1069</v>
      </c>
      <c r="F59" s="27" t="s">
        <v>1530</v>
      </c>
      <c r="G59" s="27" t="s">
        <v>1531</v>
      </c>
      <c r="H59" s="27" t="s">
        <v>1070</v>
      </c>
      <c r="I59" s="27" t="s">
        <v>415</v>
      </c>
      <c r="J59" s="27" t="s">
        <v>1068</v>
      </c>
      <c r="K59" s="27" t="s">
        <v>1071</v>
      </c>
      <c r="L59" s="27"/>
      <c r="M59" s="27" t="s">
        <v>82</v>
      </c>
      <c r="N59" s="27" t="s">
        <v>6</v>
      </c>
      <c r="O59" s="27"/>
      <c r="P59" s="27"/>
      <c r="Q59" s="27"/>
      <c r="R59" s="27" t="s">
        <v>733</v>
      </c>
      <c r="S59" s="27"/>
      <c r="T59" s="27"/>
      <c r="U59" s="40"/>
      <c r="V59" s="27"/>
      <c r="W59" s="27"/>
      <c r="X59" s="27"/>
    </row>
    <row r="60" spans="1:24" s="54" customFormat="1" ht="15.75" x14ac:dyDescent="0.25">
      <c r="A60" s="26" t="s">
        <v>426</v>
      </c>
      <c r="B60" s="27" t="s">
        <v>1448</v>
      </c>
      <c r="C60" s="27" t="s">
        <v>1072</v>
      </c>
      <c r="D60" s="27" t="s">
        <v>1073</v>
      </c>
      <c r="E60" s="27" t="s">
        <v>1074</v>
      </c>
      <c r="F60" s="27" t="s">
        <v>1532</v>
      </c>
      <c r="G60" s="27" t="s">
        <v>1531</v>
      </c>
      <c r="H60" s="27" t="s">
        <v>1075</v>
      </c>
      <c r="I60" s="27" t="s">
        <v>415</v>
      </c>
      <c r="J60" s="27" t="s">
        <v>1076</v>
      </c>
      <c r="K60" s="27" t="s">
        <v>1071</v>
      </c>
      <c r="L60" s="27"/>
      <c r="M60" s="27" t="s">
        <v>82</v>
      </c>
      <c r="N60" s="27" t="s">
        <v>6</v>
      </c>
      <c r="O60" s="27"/>
      <c r="P60" s="27"/>
      <c r="Q60" s="27"/>
      <c r="R60" s="27" t="s">
        <v>733</v>
      </c>
      <c r="S60" s="27"/>
      <c r="T60" s="27"/>
      <c r="U60" s="40"/>
      <c r="V60" s="27"/>
      <c r="W60" s="27"/>
      <c r="X60" s="27"/>
    </row>
    <row r="61" spans="1:24" s="54" customFormat="1" ht="15.75" x14ac:dyDescent="0.25">
      <c r="A61" s="26" t="s">
        <v>426</v>
      </c>
      <c r="B61" s="27" t="s">
        <v>1448</v>
      </c>
      <c r="C61" s="27" t="s">
        <v>1077</v>
      </c>
      <c r="D61" s="27" t="s">
        <v>1078</v>
      </c>
      <c r="E61" s="27" t="s">
        <v>1079</v>
      </c>
      <c r="F61" s="27" t="s">
        <v>1533</v>
      </c>
      <c r="G61" s="27" t="s">
        <v>1531</v>
      </c>
      <c r="H61" s="27" t="s">
        <v>1080</v>
      </c>
      <c r="I61" s="27" t="s">
        <v>415</v>
      </c>
      <c r="J61" s="27" t="s">
        <v>1081</v>
      </c>
      <c r="K61" s="27" t="s">
        <v>1071</v>
      </c>
      <c r="L61" s="27"/>
      <c r="M61" s="27" t="s">
        <v>82</v>
      </c>
      <c r="N61" s="27" t="s">
        <v>6</v>
      </c>
      <c r="O61" s="27"/>
      <c r="P61" s="27"/>
      <c r="Q61" s="27"/>
      <c r="R61" s="27" t="s">
        <v>733</v>
      </c>
      <c r="S61" s="27"/>
      <c r="T61" s="27"/>
      <c r="U61" s="40"/>
      <c r="V61" s="27"/>
      <c r="W61" s="27"/>
      <c r="X61" s="27"/>
    </row>
    <row r="62" spans="1:24" s="54" customFormat="1" ht="15.75" x14ac:dyDescent="0.25">
      <c r="A62" s="26" t="s">
        <v>426</v>
      </c>
      <c r="B62" s="27" t="s">
        <v>1448</v>
      </c>
      <c r="C62" s="27" t="s">
        <v>1082</v>
      </c>
      <c r="D62" s="27" t="s">
        <v>1719</v>
      </c>
      <c r="E62" s="27" t="s">
        <v>1083</v>
      </c>
      <c r="F62" s="27" t="s">
        <v>1534</v>
      </c>
      <c r="G62" s="27" t="s">
        <v>1084</v>
      </c>
      <c r="H62" s="27" t="s">
        <v>1085</v>
      </c>
      <c r="I62" s="27" t="s">
        <v>415</v>
      </c>
      <c r="J62" s="27" t="s">
        <v>1723</v>
      </c>
      <c r="K62" s="27" t="s">
        <v>1071</v>
      </c>
      <c r="L62" s="27"/>
      <c r="M62" s="27" t="s">
        <v>82</v>
      </c>
      <c r="N62" s="27" t="s">
        <v>6</v>
      </c>
      <c r="O62" s="27"/>
      <c r="P62" s="27"/>
      <c r="Q62" s="27"/>
      <c r="R62" s="27" t="s">
        <v>733</v>
      </c>
      <c r="S62" s="27"/>
      <c r="T62" s="27"/>
      <c r="U62" s="40"/>
      <c r="V62" s="27"/>
      <c r="W62" s="27"/>
      <c r="X62" s="27"/>
    </row>
    <row r="63" spans="1:24" ht="17.850000000000001" customHeight="1" x14ac:dyDescent="0.25">
      <c r="A63" s="26" t="s">
        <v>426</v>
      </c>
      <c r="B63" s="27" t="s">
        <v>133</v>
      </c>
      <c r="C63" s="27" t="s">
        <v>157</v>
      </c>
      <c r="D63" s="27" t="s">
        <v>955</v>
      </c>
      <c r="E63" s="27" t="s">
        <v>385</v>
      </c>
      <c r="F63" s="27" t="s">
        <v>175</v>
      </c>
      <c r="G63" s="27" t="s">
        <v>82</v>
      </c>
      <c r="H63" s="27" t="s">
        <v>175</v>
      </c>
      <c r="I63" s="27" t="s">
        <v>415</v>
      </c>
      <c r="J63" s="27" t="s">
        <v>134</v>
      </c>
      <c r="K63" s="27" t="s">
        <v>885</v>
      </c>
      <c r="M63" s="27" t="s">
        <v>82</v>
      </c>
      <c r="N63" s="27" t="s">
        <v>287</v>
      </c>
      <c r="R63" s="27" t="s">
        <v>733</v>
      </c>
      <c r="S63" s="47" t="s">
        <v>1443</v>
      </c>
      <c r="T63" s="42" t="s">
        <v>1090</v>
      </c>
      <c r="U63" s="43">
        <v>1</v>
      </c>
      <c r="V63" s="42" t="s">
        <v>1091</v>
      </c>
      <c r="W63" s="42" t="s">
        <v>1092</v>
      </c>
      <c r="X63" s="42" t="s">
        <v>1093</v>
      </c>
    </row>
    <row r="64" spans="1:24" ht="17.850000000000001" customHeight="1" x14ac:dyDescent="0.25">
      <c r="A64" s="26" t="s">
        <v>426</v>
      </c>
      <c r="B64" s="27" t="s">
        <v>133</v>
      </c>
      <c r="C64" s="27" t="s">
        <v>158</v>
      </c>
      <c r="D64" s="27" t="s">
        <v>955</v>
      </c>
      <c r="E64" s="27" t="s">
        <v>385</v>
      </c>
      <c r="F64" s="27" t="s">
        <v>176</v>
      </c>
      <c r="G64" s="27" t="s">
        <v>82</v>
      </c>
      <c r="H64" s="27" t="s">
        <v>176</v>
      </c>
      <c r="I64" s="27" t="s">
        <v>415</v>
      </c>
      <c r="J64" s="27" t="s">
        <v>135</v>
      </c>
      <c r="K64" s="27" t="s">
        <v>885</v>
      </c>
      <c r="M64" s="27" t="s">
        <v>82</v>
      </c>
      <c r="N64" s="27" t="s">
        <v>287</v>
      </c>
      <c r="R64" s="27" t="s">
        <v>733</v>
      </c>
      <c r="S64" s="47" t="s">
        <v>1443</v>
      </c>
      <c r="T64" s="42" t="s">
        <v>1090</v>
      </c>
      <c r="U64" s="43">
        <v>2</v>
      </c>
      <c r="V64" s="42" t="s">
        <v>1091</v>
      </c>
      <c r="W64" s="42" t="s">
        <v>1092</v>
      </c>
      <c r="X64" s="42" t="s">
        <v>1093</v>
      </c>
    </row>
    <row r="65" spans="1:24" ht="17.850000000000001" customHeight="1" x14ac:dyDescent="0.25">
      <c r="A65" s="26" t="s">
        <v>426</v>
      </c>
      <c r="B65" s="27" t="s">
        <v>133</v>
      </c>
      <c r="C65" s="27" t="s">
        <v>159</v>
      </c>
      <c r="D65" s="27" t="s">
        <v>956</v>
      </c>
      <c r="E65" s="27" t="s">
        <v>386</v>
      </c>
      <c r="F65" s="27" t="s">
        <v>180</v>
      </c>
      <c r="G65" s="27" t="s">
        <v>82</v>
      </c>
      <c r="H65" s="27" t="s">
        <v>450</v>
      </c>
      <c r="I65" s="27" t="s">
        <v>415</v>
      </c>
      <c r="J65" s="27" t="s">
        <v>136</v>
      </c>
      <c r="K65" s="27" t="s">
        <v>886</v>
      </c>
      <c r="M65" s="27" t="s">
        <v>82</v>
      </c>
      <c r="N65" s="27" t="s">
        <v>287</v>
      </c>
      <c r="R65" s="27" t="s">
        <v>733</v>
      </c>
      <c r="S65" s="47" t="s">
        <v>1443</v>
      </c>
      <c r="T65" s="42" t="s">
        <v>1090</v>
      </c>
      <c r="U65" s="43">
        <v>3</v>
      </c>
      <c r="V65" s="42" t="s">
        <v>1091</v>
      </c>
      <c r="W65" s="42" t="s">
        <v>1092</v>
      </c>
      <c r="X65" s="42" t="s">
        <v>1093</v>
      </c>
    </row>
    <row r="66" spans="1:24" ht="17.850000000000001" customHeight="1" x14ac:dyDescent="0.25">
      <c r="A66" s="26" t="s">
        <v>426</v>
      </c>
      <c r="B66" s="27" t="s">
        <v>133</v>
      </c>
      <c r="C66" s="27" t="s">
        <v>160</v>
      </c>
      <c r="D66" s="27" t="s">
        <v>956</v>
      </c>
      <c r="E66" s="27" t="s">
        <v>386</v>
      </c>
      <c r="F66" s="27" t="s">
        <v>181</v>
      </c>
      <c r="G66" s="27" t="s">
        <v>82</v>
      </c>
      <c r="H66" s="27" t="s">
        <v>450</v>
      </c>
      <c r="I66" s="27" t="s">
        <v>415</v>
      </c>
      <c r="J66" s="27" t="s">
        <v>137</v>
      </c>
      <c r="K66" s="27" t="s">
        <v>886</v>
      </c>
      <c r="M66" s="27" t="s">
        <v>82</v>
      </c>
      <c r="N66" s="27" t="s">
        <v>287</v>
      </c>
      <c r="R66" s="27" t="s">
        <v>733</v>
      </c>
      <c r="S66" s="47" t="s">
        <v>1443</v>
      </c>
      <c r="T66" s="42" t="s">
        <v>1090</v>
      </c>
      <c r="U66" s="43">
        <v>4</v>
      </c>
      <c r="V66" s="42" t="s">
        <v>1091</v>
      </c>
      <c r="W66" s="42" t="s">
        <v>1092</v>
      </c>
      <c r="X66" s="42" t="s">
        <v>1093</v>
      </c>
    </row>
    <row r="67" spans="1:24" ht="17.850000000000001" customHeight="1" x14ac:dyDescent="0.25">
      <c r="A67" s="26" t="s">
        <v>426</v>
      </c>
      <c r="B67" s="27" t="s">
        <v>133</v>
      </c>
      <c r="C67" s="27" t="s">
        <v>161</v>
      </c>
      <c r="D67" s="27" t="s">
        <v>956</v>
      </c>
      <c r="E67" s="27" t="s">
        <v>386</v>
      </c>
      <c r="F67" s="27" t="s">
        <v>177</v>
      </c>
      <c r="G67" s="27" t="s">
        <v>82</v>
      </c>
      <c r="H67" s="27" t="s">
        <v>450</v>
      </c>
      <c r="I67" s="27" t="s">
        <v>415</v>
      </c>
      <c r="J67" s="27" t="s">
        <v>138</v>
      </c>
      <c r="K67" s="27" t="s">
        <v>886</v>
      </c>
      <c r="M67" s="27" t="s">
        <v>82</v>
      </c>
      <c r="N67" s="27" t="s">
        <v>287</v>
      </c>
      <c r="R67" s="27" t="s">
        <v>733</v>
      </c>
      <c r="U67" s="40"/>
      <c r="X67" s="48"/>
    </row>
    <row r="68" spans="1:24" ht="17.850000000000001" customHeight="1" x14ac:dyDescent="0.25">
      <c r="A68" s="26" t="s">
        <v>426</v>
      </c>
      <c r="B68" s="27" t="s">
        <v>133</v>
      </c>
      <c r="C68" s="27" t="s">
        <v>162</v>
      </c>
      <c r="D68" s="27" t="s">
        <v>139</v>
      </c>
      <c r="E68" s="27" t="s">
        <v>386</v>
      </c>
      <c r="F68" s="27" t="s">
        <v>1535</v>
      </c>
      <c r="G68" s="27" t="s">
        <v>179</v>
      </c>
      <c r="H68" s="27" t="s">
        <v>450</v>
      </c>
      <c r="I68" s="27" t="s">
        <v>415</v>
      </c>
      <c r="J68" s="27" t="s">
        <v>140</v>
      </c>
      <c r="K68" s="27" t="s">
        <v>852</v>
      </c>
      <c r="M68" s="27" t="s">
        <v>82</v>
      </c>
      <c r="N68" s="27" t="s">
        <v>6</v>
      </c>
      <c r="R68" s="27" t="s">
        <v>733</v>
      </c>
      <c r="S68" s="47" t="s">
        <v>1443</v>
      </c>
      <c r="T68" s="42" t="s">
        <v>1090</v>
      </c>
      <c r="U68" s="43">
        <v>5</v>
      </c>
      <c r="V68" s="42" t="s">
        <v>1091</v>
      </c>
      <c r="W68" s="42" t="s">
        <v>1092</v>
      </c>
      <c r="X68" s="42" t="s">
        <v>1093</v>
      </c>
    </row>
    <row r="69" spans="1:24" ht="17.850000000000001" customHeight="1" x14ac:dyDescent="0.25">
      <c r="A69" s="26" t="s">
        <v>426</v>
      </c>
      <c r="B69" s="27" t="s">
        <v>133</v>
      </c>
      <c r="C69" s="27" t="s">
        <v>433</v>
      </c>
      <c r="D69" s="27" t="s">
        <v>141</v>
      </c>
      <c r="E69" s="27" t="s">
        <v>386</v>
      </c>
      <c r="F69" s="27" t="s">
        <v>1536</v>
      </c>
      <c r="G69" s="27" t="s">
        <v>178</v>
      </c>
      <c r="H69" s="27" t="s">
        <v>450</v>
      </c>
      <c r="I69" s="27" t="s">
        <v>415</v>
      </c>
      <c r="J69" s="27" t="s">
        <v>142</v>
      </c>
      <c r="K69" s="27" t="s">
        <v>143</v>
      </c>
      <c r="M69" s="27" t="s">
        <v>82</v>
      </c>
      <c r="N69" s="27" t="s">
        <v>6</v>
      </c>
      <c r="P69" s="27" t="s">
        <v>672</v>
      </c>
      <c r="Q69" s="27">
        <v>1</v>
      </c>
      <c r="R69" s="27" t="s">
        <v>733</v>
      </c>
      <c r="S69" s="47" t="s">
        <v>1443</v>
      </c>
      <c r="T69" s="42" t="s">
        <v>1090</v>
      </c>
      <c r="U69" s="43">
        <v>6</v>
      </c>
      <c r="V69" s="42" t="s">
        <v>1091</v>
      </c>
      <c r="W69" s="42" t="s">
        <v>1092</v>
      </c>
      <c r="X69" s="42" t="s">
        <v>1093</v>
      </c>
    </row>
    <row r="70" spans="1:24" ht="17.850000000000001" customHeight="1" x14ac:dyDescent="0.25">
      <c r="A70" s="26" t="s">
        <v>426</v>
      </c>
      <c r="B70" s="27" t="s">
        <v>133</v>
      </c>
      <c r="C70" s="27" t="s">
        <v>163</v>
      </c>
      <c r="D70" s="27" t="s">
        <v>711</v>
      </c>
      <c r="E70" s="27" t="s">
        <v>387</v>
      </c>
      <c r="F70" s="27" t="s">
        <v>1537</v>
      </c>
      <c r="G70" s="27" t="s">
        <v>1538</v>
      </c>
      <c r="H70" s="27" t="s">
        <v>515</v>
      </c>
      <c r="I70" s="27" t="s">
        <v>415</v>
      </c>
      <c r="J70" s="27" t="s">
        <v>144</v>
      </c>
      <c r="M70" s="27" t="s">
        <v>82</v>
      </c>
      <c r="N70" s="27" t="s">
        <v>6</v>
      </c>
      <c r="P70" s="27" t="s">
        <v>673</v>
      </c>
      <c r="Q70" s="27">
        <v>1</v>
      </c>
      <c r="R70" s="27" t="s">
        <v>733</v>
      </c>
      <c r="S70" s="47" t="s">
        <v>1443</v>
      </c>
      <c r="T70" s="42" t="s">
        <v>1094</v>
      </c>
      <c r="U70" s="43">
        <v>1</v>
      </c>
      <c r="V70" s="42" t="s">
        <v>1095</v>
      </c>
      <c r="W70" s="42" t="s">
        <v>1096</v>
      </c>
      <c r="X70" s="46" t="s">
        <v>1098</v>
      </c>
    </row>
    <row r="71" spans="1:24" ht="17.850000000000001" customHeight="1" x14ac:dyDescent="0.25">
      <c r="A71" s="26" t="s">
        <v>426</v>
      </c>
      <c r="B71" s="27" t="s">
        <v>133</v>
      </c>
      <c r="C71" s="27" t="s">
        <v>164</v>
      </c>
      <c r="D71" s="31" t="s">
        <v>880</v>
      </c>
      <c r="E71" s="27" t="s">
        <v>388</v>
      </c>
      <c r="F71" s="27" t="s">
        <v>1539</v>
      </c>
      <c r="G71" s="27" t="s">
        <v>1540</v>
      </c>
      <c r="H71" s="27" t="s">
        <v>516</v>
      </c>
      <c r="I71" s="27" t="s">
        <v>415</v>
      </c>
      <c r="J71" s="27" t="s">
        <v>145</v>
      </c>
      <c r="M71" s="27" t="s">
        <v>82</v>
      </c>
      <c r="N71" s="27" t="s">
        <v>6</v>
      </c>
      <c r="R71" s="27" t="s">
        <v>733</v>
      </c>
      <c r="S71" s="47" t="s">
        <v>1443</v>
      </c>
      <c r="T71" s="42" t="s">
        <v>1094</v>
      </c>
      <c r="U71" s="43">
        <v>2</v>
      </c>
      <c r="V71" s="42" t="s">
        <v>1095</v>
      </c>
      <c r="W71" s="42" t="s">
        <v>1096</v>
      </c>
      <c r="X71" s="46" t="s">
        <v>1098</v>
      </c>
    </row>
    <row r="72" spans="1:24" ht="17.850000000000001" customHeight="1" x14ac:dyDescent="0.25">
      <c r="A72" s="26" t="s">
        <v>426</v>
      </c>
      <c r="B72" s="27" t="s">
        <v>133</v>
      </c>
      <c r="C72" s="27" t="s">
        <v>165</v>
      </c>
      <c r="D72" s="27" t="s">
        <v>712</v>
      </c>
      <c r="E72" s="27" t="s">
        <v>389</v>
      </c>
      <c r="F72" s="27" t="s">
        <v>1541</v>
      </c>
      <c r="G72" s="27" t="s">
        <v>1542</v>
      </c>
      <c r="H72" s="27" t="s">
        <v>517</v>
      </c>
      <c r="I72" s="27" t="s">
        <v>415</v>
      </c>
      <c r="J72" s="27" t="s">
        <v>146</v>
      </c>
      <c r="M72" s="27" t="s">
        <v>82</v>
      </c>
      <c r="N72" s="27" t="s">
        <v>6</v>
      </c>
      <c r="P72" s="27" t="s">
        <v>674</v>
      </c>
      <c r="Q72" s="27">
        <v>1</v>
      </c>
      <c r="R72" s="27" t="s">
        <v>733</v>
      </c>
      <c r="S72" s="47" t="s">
        <v>1443</v>
      </c>
      <c r="T72" s="42" t="s">
        <v>1094</v>
      </c>
      <c r="U72" s="43">
        <v>3</v>
      </c>
      <c r="V72" s="42" t="s">
        <v>1095</v>
      </c>
      <c r="W72" s="42" t="s">
        <v>1096</v>
      </c>
      <c r="X72" s="46" t="s">
        <v>1098</v>
      </c>
    </row>
    <row r="73" spans="1:24" ht="17.850000000000001" customHeight="1" x14ac:dyDescent="0.25">
      <c r="A73" s="26" t="s">
        <v>426</v>
      </c>
      <c r="B73" s="27" t="s">
        <v>133</v>
      </c>
      <c r="C73" s="27" t="s">
        <v>166</v>
      </c>
      <c r="D73" s="27" t="s">
        <v>713</v>
      </c>
      <c r="E73" s="27" t="s">
        <v>390</v>
      </c>
      <c r="F73" s="27" t="s">
        <v>1543</v>
      </c>
      <c r="G73" s="27" t="s">
        <v>1544</v>
      </c>
      <c r="H73" s="27" t="s">
        <v>518</v>
      </c>
      <c r="I73" s="27" t="s">
        <v>415</v>
      </c>
      <c r="J73" s="27" t="s">
        <v>147</v>
      </c>
      <c r="M73" s="27" t="s">
        <v>82</v>
      </c>
      <c r="N73" s="27" t="s">
        <v>6</v>
      </c>
      <c r="R73" s="27" t="s">
        <v>733</v>
      </c>
    </row>
    <row r="74" spans="1:24" ht="17.850000000000001" customHeight="1" x14ac:dyDescent="0.25">
      <c r="A74" s="26" t="s">
        <v>426</v>
      </c>
      <c r="B74" s="27" t="s">
        <v>133</v>
      </c>
      <c r="C74" s="27" t="s">
        <v>432</v>
      </c>
      <c r="D74" s="27" t="s">
        <v>713</v>
      </c>
      <c r="E74" s="27" t="s">
        <v>390</v>
      </c>
      <c r="F74" s="27" t="s">
        <v>1545</v>
      </c>
      <c r="G74" s="27" t="s">
        <v>1546</v>
      </c>
      <c r="H74" s="27" t="s">
        <v>518</v>
      </c>
      <c r="I74" s="27" t="s">
        <v>415</v>
      </c>
      <c r="J74" s="27" t="s">
        <v>148</v>
      </c>
      <c r="K74" s="27" t="s">
        <v>999</v>
      </c>
      <c r="M74" s="27" t="s">
        <v>82</v>
      </c>
      <c r="N74" s="27" t="s">
        <v>6</v>
      </c>
      <c r="R74" s="27" t="s">
        <v>733</v>
      </c>
    </row>
    <row r="75" spans="1:24" ht="17.850000000000001" customHeight="1" x14ac:dyDescent="0.25">
      <c r="A75" s="26" t="s">
        <v>426</v>
      </c>
      <c r="B75" s="27" t="s">
        <v>133</v>
      </c>
      <c r="C75" s="27" t="s">
        <v>167</v>
      </c>
      <c r="D75" s="27" t="s">
        <v>714</v>
      </c>
      <c r="E75" s="27" t="s">
        <v>391</v>
      </c>
      <c r="F75" s="27" t="s">
        <v>1547</v>
      </c>
      <c r="G75" s="27" t="s">
        <v>1548</v>
      </c>
      <c r="H75" s="27" t="s">
        <v>519</v>
      </c>
      <c r="I75" s="27" t="s">
        <v>415</v>
      </c>
      <c r="J75" s="27" t="s">
        <v>149</v>
      </c>
      <c r="K75" s="27" t="s">
        <v>1000</v>
      </c>
      <c r="M75" s="27" t="s">
        <v>82</v>
      </c>
      <c r="N75" s="27" t="s">
        <v>6</v>
      </c>
      <c r="R75" s="27" t="s">
        <v>733</v>
      </c>
    </row>
    <row r="76" spans="1:24" ht="17.850000000000001" customHeight="1" x14ac:dyDescent="0.25">
      <c r="A76" s="26" t="s">
        <v>426</v>
      </c>
      <c r="B76" s="27" t="s">
        <v>133</v>
      </c>
      <c r="C76" s="27" t="s">
        <v>168</v>
      </c>
      <c r="D76" s="27" t="s">
        <v>715</v>
      </c>
      <c r="E76" s="27" t="s">
        <v>392</v>
      </c>
      <c r="F76" s="27" t="s">
        <v>1549</v>
      </c>
      <c r="G76" s="27" t="s">
        <v>82</v>
      </c>
      <c r="H76" s="27" t="s">
        <v>520</v>
      </c>
      <c r="I76" s="27" t="s">
        <v>415</v>
      </c>
      <c r="J76" s="27" t="s">
        <v>150</v>
      </c>
      <c r="M76" s="27" t="s">
        <v>82</v>
      </c>
      <c r="N76" s="27" t="s">
        <v>6</v>
      </c>
      <c r="R76" s="27" t="s">
        <v>733</v>
      </c>
    </row>
    <row r="77" spans="1:24" ht="17.850000000000001" customHeight="1" x14ac:dyDescent="0.25">
      <c r="A77" s="26" t="s">
        <v>426</v>
      </c>
      <c r="B77" s="27" t="s">
        <v>133</v>
      </c>
      <c r="C77" s="27" t="s">
        <v>169</v>
      </c>
      <c r="D77" s="27" t="s">
        <v>716</v>
      </c>
      <c r="E77" s="27" t="s">
        <v>393</v>
      </c>
      <c r="F77" s="27" t="s">
        <v>1550</v>
      </c>
      <c r="G77" s="27" t="s">
        <v>82</v>
      </c>
      <c r="H77" s="27" t="s">
        <v>521</v>
      </c>
      <c r="I77" s="27" t="s">
        <v>415</v>
      </c>
      <c r="J77" s="27" t="s">
        <v>151</v>
      </c>
      <c r="M77" s="27" t="s">
        <v>82</v>
      </c>
      <c r="N77" s="27" t="s">
        <v>6</v>
      </c>
      <c r="R77" s="27" t="s">
        <v>733</v>
      </c>
    </row>
    <row r="78" spans="1:24" ht="17.850000000000001" customHeight="1" x14ac:dyDescent="0.25">
      <c r="A78" s="26" t="s">
        <v>426</v>
      </c>
      <c r="B78" s="27" t="s">
        <v>133</v>
      </c>
      <c r="C78" s="27" t="s">
        <v>170</v>
      </c>
      <c r="D78" s="27" t="s">
        <v>716</v>
      </c>
      <c r="E78" s="27" t="s">
        <v>393</v>
      </c>
      <c r="F78" s="27" t="s">
        <v>1551</v>
      </c>
      <c r="G78" s="27" t="s">
        <v>82</v>
      </c>
      <c r="H78" s="27" t="s">
        <v>522</v>
      </c>
      <c r="I78" s="27" t="s">
        <v>415</v>
      </c>
      <c r="J78" s="27" t="s">
        <v>152</v>
      </c>
      <c r="M78" s="27" t="s">
        <v>82</v>
      </c>
      <c r="N78" s="27" t="s">
        <v>6</v>
      </c>
      <c r="R78" s="27" t="s">
        <v>733</v>
      </c>
    </row>
    <row r="79" spans="1:24" ht="17.850000000000001" customHeight="1" x14ac:dyDescent="0.25">
      <c r="A79" s="26" t="s">
        <v>426</v>
      </c>
      <c r="B79" s="27" t="s">
        <v>133</v>
      </c>
      <c r="C79" s="27" t="s">
        <v>171</v>
      </c>
      <c r="D79" s="27" t="s">
        <v>716</v>
      </c>
      <c r="E79" s="27" t="s">
        <v>393</v>
      </c>
      <c r="F79" s="27" t="s">
        <v>1552</v>
      </c>
      <c r="G79" s="27" t="s">
        <v>82</v>
      </c>
      <c r="H79" s="27" t="s">
        <v>523</v>
      </c>
      <c r="I79" s="27" t="s">
        <v>415</v>
      </c>
      <c r="J79" s="27" t="s">
        <v>153</v>
      </c>
      <c r="M79" s="27" t="s">
        <v>82</v>
      </c>
      <c r="N79" s="27" t="s">
        <v>6</v>
      </c>
      <c r="R79" s="27" t="s">
        <v>733</v>
      </c>
    </row>
    <row r="80" spans="1:24" ht="17.850000000000001" customHeight="1" x14ac:dyDescent="0.25">
      <c r="A80" s="26" t="s">
        <v>426</v>
      </c>
      <c r="B80" s="27" t="s">
        <v>133</v>
      </c>
      <c r="C80" s="27" t="s">
        <v>172</v>
      </c>
      <c r="D80" s="27" t="s">
        <v>716</v>
      </c>
      <c r="E80" s="27" t="s">
        <v>393</v>
      </c>
      <c r="F80" s="27" t="s">
        <v>1553</v>
      </c>
      <c r="G80" s="27" t="s">
        <v>82</v>
      </c>
      <c r="H80" s="27" t="s">
        <v>524</v>
      </c>
      <c r="I80" s="27" t="s">
        <v>415</v>
      </c>
      <c r="J80" s="27" t="s">
        <v>154</v>
      </c>
      <c r="M80" s="27" t="s">
        <v>82</v>
      </c>
      <c r="N80" s="27" t="s">
        <v>6</v>
      </c>
      <c r="R80" s="27" t="s">
        <v>733</v>
      </c>
    </row>
    <row r="81" spans="1:24" ht="17.850000000000001" customHeight="1" x14ac:dyDescent="0.25">
      <c r="A81" s="26" t="s">
        <v>426</v>
      </c>
      <c r="B81" s="27" t="s">
        <v>133</v>
      </c>
      <c r="C81" s="27" t="s">
        <v>173</v>
      </c>
      <c r="D81" s="27" t="s">
        <v>716</v>
      </c>
      <c r="E81" s="27" t="s">
        <v>393</v>
      </c>
      <c r="F81" s="27" t="s">
        <v>1554</v>
      </c>
      <c r="G81" s="27" t="s">
        <v>82</v>
      </c>
      <c r="H81" s="27" t="s">
        <v>525</v>
      </c>
      <c r="I81" s="27" t="s">
        <v>415</v>
      </c>
      <c r="J81" s="27" t="s">
        <v>155</v>
      </c>
      <c r="M81" s="27" t="s">
        <v>82</v>
      </c>
      <c r="N81" s="27" t="s">
        <v>6</v>
      </c>
      <c r="R81" s="27" t="s">
        <v>733</v>
      </c>
    </row>
    <row r="82" spans="1:24" ht="17.850000000000001" customHeight="1" x14ac:dyDescent="0.25">
      <c r="A82" s="26" t="s">
        <v>426</v>
      </c>
      <c r="B82" s="27" t="s">
        <v>133</v>
      </c>
      <c r="C82" s="27" t="s">
        <v>174</v>
      </c>
      <c r="D82" s="27" t="s">
        <v>716</v>
      </c>
      <c r="E82" s="27" t="s">
        <v>393</v>
      </c>
      <c r="F82" s="27" t="s">
        <v>1555</v>
      </c>
      <c r="G82" s="27" t="s">
        <v>82</v>
      </c>
      <c r="H82" s="27" t="s">
        <v>526</v>
      </c>
      <c r="I82" s="27" t="s">
        <v>415</v>
      </c>
      <c r="J82" s="27" t="s">
        <v>156</v>
      </c>
      <c r="M82" s="27" t="s">
        <v>82</v>
      </c>
      <c r="N82" s="27" t="s">
        <v>6</v>
      </c>
      <c r="R82" s="27" t="s">
        <v>733</v>
      </c>
    </row>
    <row r="83" spans="1:24" ht="17.850000000000001" customHeight="1" x14ac:dyDescent="0.25">
      <c r="A83" s="26" t="s">
        <v>426</v>
      </c>
      <c r="B83" s="27" t="s">
        <v>133</v>
      </c>
      <c r="C83" s="27" t="s">
        <v>846</v>
      </c>
      <c r="D83" s="27" t="s">
        <v>1720</v>
      </c>
      <c r="E83" s="27" t="s">
        <v>407</v>
      </c>
      <c r="F83" s="27" t="s">
        <v>341</v>
      </c>
      <c r="G83" s="27" t="s">
        <v>1556</v>
      </c>
      <c r="H83" s="27" t="s">
        <v>472</v>
      </c>
      <c r="I83" s="27" t="s">
        <v>1015</v>
      </c>
      <c r="J83" s="27" t="s">
        <v>867</v>
      </c>
      <c r="K83" s="27" t="s">
        <v>888</v>
      </c>
      <c r="M83" s="27" t="s">
        <v>82</v>
      </c>
      <c r="N83" s="27" t="s">
        <v>287</v>
      </c>
      <c r="P83" s="27" t="s">
        <v>847</v>
      </c>
      <c r="Q83" s="27">
        <v>1</v>
      </c>
      <c r="R83" s="27" t="s">
        <v>733</v>
      </c>
      <c r="S83" s="47" t="s">
        <v>1443</v>
      </c>
      <c r="T83" s="42" t="s">
        <v>1094</v>
      </c>
      <c r="U83" s="43">
        <v>4</v>
      </c>
      <c r="V83" s="42" t="s">
        <v>1095</v>
      </c>
      <c r="W83" s="42" t="s">
        <v>1096</v>
      </c>
      <c r="X83" s="46" t="s">
        <v>1098</v>
      </c>
    </row>
    <row r="84" spans="1:24" s="31" customFormat="1" ht="17.850000000000001" customHeight="1" x14ac:dyDescent="0.25">
      <c r="A84" s="32" t="s">
        <v>426</v>
      </c>
      <c r="B84" s="31" t="s">
        <v>133</v>
      </c>
      <c r="C84" s="31" t="s">
        <v>868</v>
      </c>
      <c r="D84" s="31" t="s">
        <v>1720</v>
      </c>
      <c r="E84" s="31" t="s">
        <v>407</v>
      </c>
      <c r="F84" s="31" t="s">
        <v>869</v>
      </c>
      <c r="G84" s="31" t="s">
        <v>1557</v>
      </c>
      <c r="H84" s="31" t="s">
        <v>472</v>
      </c>
      <c r="I84" s="27" t="s">
        <v>1015</v>
      </c>
      <c r="J84" s="31" t="s">
        <v>870</v>
      </c>
      <c r="K84" s="31" t="s">
        <v>888</v>
      </c>
      <c r="M84" s="31" t="s">
        <v>82</v>
      </c>
      <c r="N84" s="31" t="s">
        <v>287</v>
      </c>
      <c r="R84" s="31" t="s">
        <v>733</v>
      </c>
    </row>
    <row r="85" spans="1:24" s="31" customFormat="1" ht="17.850000000000001" customHeight="1" x14ac:dyDescent="0.25">
      <c r="A85" s="32" t="s">
        <v>426</v>
      </c>
      <c r="B85" s="31" t="s">
        <v>133</v>
      </c>
      <c r="C85" s="31" t="s">
        <v>871</v>
      </c>
      <c r="D85" s="31" t="s">
        <v>1720</v>
      </c>
      <c r="E85" s="31" t="s">
        <v>407</v>
      </c>
      <c r="F85" s="31" t="s">
        <v>872</v>
      </c>
      <c r="G85" s="31" t="s">
        <v>1558</v>
      </c>
      <c r="H85" s="31" t="s">
        <v>472</v>
      </c>
      <c r="I85" s="27" t="s">
        <v>1015</v>
      </c>
      <c r="J85" s="31" t="s">
        <v>873</v>
      </c>
      <c r="K85" s="31" t="s">
        <v>888</v>
      </c>
      <c r="M85" s="31" t="s">
        <v>82</v>
      </c>
      <c r="N85" s="31" t="s">
        <v>287</v>
      </c>
      <c r="R85" s="31" t="s">
        <v>733</v>
      </c>
    </row>
    <row r="86" spans="1:24" s="31" customFormat="1" ht="17.850000000000001" customHeight="1" x14ac:dyDescent="0.25">
      <c r="A86" s="32" t="s">
        <v>426</v>
      </c>
      <c r="B86" s="31" t="s">
        <v>133</v>
      </c>
      <c r="C86" s="31" t="s">
        <v>874</v>
      </c>
      <c r="D86" s="31" t="s">
        <v>1720</v>
      </c>
      <c r="E86" s="31" t="s">
        <v>407</v>
      </c>
      <c r="F86" s="31" t="s">
        <v>875</v>
      </c>
      <c r="G86" s="31" t="s">
        <v>1559</v>
      </c>
      <c r="H86" s="31" t="s">
        <v>472</v>
      </c>
      <c r="I86" s="27" t="s">
        <v>1015</v>
      </c>
      <c r="J86" s="31" t="s">
        <v>876</v>
      </c>
      <c r="K86" s="31" t="s">
        <v>888</v>
      </c>
      <c r="M86" s="31" t="s">
        <v>82</v>
      </c>
      <c r="N86" s="31" t="s">
        <v>287</v>
      </c>
      <c r="R86" s="31" t="s">
        <v>733</v>
      </c>
    </row>
    <row r="87" spans="1:24" s="31" customFormat="1" ht="17.850000000000001" customHeight="1" x14ac:dyDescent="0.25">
      <c r="A87" s="32" t="s">
        <v>426</v>
      </c>
      <c r="B87" s="31" t="s">
        <v>133</v>
      </c>
      <c r="C87" s="31" t="s">
        <v>877</v>
      </c>
      <c r="D87" s="31" t="s">
        <v>1720</v>
      </c>
      <c r="E87" s="31" t="s">
        <v>407</v>
      </c>
      <c r="F87" s="31" t="s">
        <v>878</v>
      </c>
      <c r="G87" s="31" t="s">
        <v>1560</v>
      </c>
      <c r="H87" s="31" t="s">
        <v>472</v>
      </c>
      <c r="I87" s="27" t="s">
        <v>1015</v>
      </c>
      <c r="J87" s="31" t="s">
        <v>879</v>
      </c>
      <c r="K87" s="31" t="s">
        <v>888</v>
      </c>
      <c r="M87" s="31" t="s">
        <v>82</v>
      </c>
      <c r="N87" s="31" t="s">
        <v>287</v>
      </c>
      <c r="R87" s="31" t="s">
        <v>733</v>
      </c>
    </row>
    <row r="88" spans="1:24" s="31" customFormat="1" ht="17.850000000000001" customHeight="1" x14ac:dyDescent="0.25">
      <c r="A88" s="32" t="s">
        <v>426</v>
      </c>
      <c r="B88" s="31" t="s">
        <v>133</v>
      </c>
      <c r="C88" s="31" t="s">
        <v>913</v>
      </c>
      <c r="D88" s="31" t="s">
        <v>1721</v>
      </c>
      <c r="E88" s="31" t="s">
        <v>407</v>
      </c>
      <c r="F88" s="31" t="s">
        <v>918</v>
      </c>
      <c r="G88" s="31" t="s">
        <v>1561</v>
      </c>
      <c r="H88" s="31" t="s">
        <v>472</v>
      </c>
      <c r="I88" s="27" t="s">
        <v>1015</v>
      </c>
      <c r="J88" s="31" t="s">
        <v>867</v>
      </c>
      <c r="K88" s="31" t="s">
        <v>888</v>
      </c>
      <c r="M88" s="31" t="s">
        <v>82</v>
      </c>
      <c r="N88" s="31" t="s">
        <v>287</v>
      </c>
      <c r="R88" s="31" t="s">
        <v>733</v>
      </c>
    </row>
    <row r="89" spans="1:24" s="31" customFormat="1" ht="17.850000000000001" customHeight="1" x14ac:dyDescent="0.25">
      <c r="A89" s="32" t="s">
        <v>426</v>
      </c>
      <c r="B89" s="31" t="s">
        <v>133</v>
      </c>
      <c r="C89" s="31" t="s">
        <v>914</v>
      </c>
      <c r="D89" s="31" t="s">
        <v>1721</v>
      </c>
      <c r="E89" s="31" t="s">
        <v>407</v>
      </c>
      <c r="F89" s="31" t="s">
        <v>919</v>
      </c>
      <c r="G89" s="31" t="s">
        <v>1562</v>
      </c>
      <c r="H89" s="31" t="s">
        <v>472</v>
      </c>
      <c r="I89" s="27" t="s">
        <v>1015</v>
      </c>
      <c r="J89" s="31" t="s">
        <v>870</v>
      </c>
      <c r="K89" s="31" t="s">
        <v>888</v>
      </c>
      <c r="M89" s="31" t="s">
        <v>82</v>
      </c>
      <c r="N89" s="31" t="s">
        <v>287</v>
      </c>
      <c r="R89" s="31" t="s">
        <v>733</v>
      </c>
    </row>
    <row r="90" spans="1:24" s="31" customFormat="1" ht="17.850000000000001" customHeight="1" x14ac:dyDescent="0.25">
      <c r="A90" s="32" t="s">
        <v>426</v>
      </c>
      <c r="B90" s="31" t="s">
        <v>133</v>
      </c>
      <c r="C90" s="31" t="s">
        <v>915</v>
      </c>
      <c r="D90" s="31" t="s">
        <v>1721</v>
      </c>
      <c r="E90" s="31" t="s">
        <v>407</v>
      </c>
      <c r="F90" s="31" t="s">
        <v>920</v>
      </c>
      <c r="G90" s="31" t="s">
        <v>1563</v>
      </c>
      <c r="H90" s="31" t="s">
        <v>472</v>
      </c>
      <c r="I90" s="27" t="s">
        <v>1015</v>
      </c>
      <c r="J90" s="31" t="s">
        <v>873</v>
      </c>
      <c r="K90" s="31" t="s">
        <v>888</v>
      </c>
      <c r="M90" s="31" t="s">
        <v>82</v>
      </c>
      <c r="N90" s="31" t="s">
        <v>287</v>
      </c>
      <c r="R90" s="31" t="s">
        <v>733</v>
      </c>
    </row>
    <row r="91" spans="1:24" s="31" customFormat="1" ht="17.850000000000001" customHeight="1" x14ac:dyDescent="0.25">
      <c r="A91" s="32" t="s">
        <v>426</v>
      </c>
      <c r="B91" s="31" t="s">
        <v>133</v>
      </c>
      <c r="C91" s="31" t="s">
        <v>916</v>
      </c>
      <c r="D91" s="31" t="s">
        <v>1721</v>
      </c>
      <c r="E91" s="31" t="s">
        <v>407</v>
      </c>
      <c r="F91" s="31" t="s">
        <v>921</v>
      </c>
      <c r="G91" s="31" t="s">
        <v>1564</v>
      </c>
      <c r="H91" s="31" t="s">
        <v>472</v>
      </c>
      <c r="I91" s="27" t="s">
        <v>1015</v>
      </c>
      <c r="J91" s="31" t="s">
        <v>876</v>
      </c>
      <c r="K91" s="31" t="s">
        <v>888</v>
      </c>
      <c r="M91" s="31" t="s">
        <v>82</v>
      </c>
      <c r="N91" s="31" t="s">
        <v>287</v>
      </c>
      <c r="R91" s="31" t="s">
        <v>733</v>
      </c>
    </row>
    <row r="92" spans="1:24" s="31" customFormat="1" ht="17.850000000000001" customHeight="1" x14ac:dyDescent="0.25">
      <c r="A92" s="32" t="s">
        <v>426</v>
      </c>
      <c r="B92" s="31" t="s">
        <v>133</v>
      </c>
      <c r="C92" s="31" t="s">
        <v>917</v>
      </c>
      <c r="D92" s="31" t="s">
        <v>1721</v>
      </c>
      <c r="E92" s="31" t="s">
        <v>407</v>
      </c>
      <c r="F92" s="31" t="s">
        <v>922</v>
      </c>
      <c r="G92" s="31" t="s">
        <v>1565</v>
      </c>
      <c r="H92" s="31" t="s">
        <v>472</v>
      </c>
      <c r="I92" s="27" t="s">
        <v>1015</v>
      </c>
      <c r="J92" s="31" t="s">
        <v>879</v>
      </c>
      <c r="K92" s="31" t="s">
        <v>888</v>
      </c>
      <c r="M92" s="31" t="s">
        <v>82</v>
      </c>
      <c r="N92" s="31" t="s">
        <v>287</v>
      </c>
      <c r="R92" s="31" t="s">
        <v>733</v>
      </c>
    </row>
    <row r="93" spans="1:24" ht="17.850000000000001" customHeight="1" x14ac:dyDescent="0.25">
      <c r="A93" s="26" t="s">
        <v>426</v>
      </c>
      <c r="B93" s="27" t="s">
        <v>1449</v>
      </c>
      <c r="C93" s="27" t="s">
        <v>203</v>
      </c>
      <c r="D93" s="27" t="s">
        <v>717</v>
      </c>
      <c r="E93" s="27" t="s">
        <v>379</v>
      </c>
      <c r="F93" s="27" t="s">
        <v>1566</v>
      </c>
      <c r="G93" s="27" t="s">
        <v>1567</v>
      </c>
      <c r="H93" s="27" t="s">
        <v>477</v>
      </c>
      <c r="I93" s="27" t="s">
        <v>415</v>
      </c>
      <c r="J93" s="27" t="s">
        <v>183</v>
      </c>
      <c r="K93" s="27" t="s">
        <v>184</v>
      </c>
      <c r="M93" s="27" t="s">
        <v>82</v>
      </c>
      <c r="N93" s="27" t="s">
        <v>6</v>
      </c>
      <c r="P93" s="27" t="s">
        <v>1480</v>
      </c>
      <c r="Q93" s="27">
        <v>1</v>
      </c>
      <c r="R93" s="27" t="s">
        <v>733</v>
      </c>
      <c r="S93" s="42" t="s">
        <v>1445</v>
      </c>
      <c r="T93" s="42" t="s">
        <v>1109</v>
      </c>
      <c r="U93" s="43">
        <v>1</v>
      </c>
      <c r="V93" s="42" t="s">
        <v>1353</v>
      </c>
      <c r="W93" s="42" t="s">
        <v>1103</v>
      </c>
      <c r="X93" s="42" t="s">
        <v>1110</v>
      </c>
    </row>
    <row r="94" spans="1:24" ht="17.850000000000001" customHeight="1" x14ac:dyDescent="0.25">
      <c r="A94" s="26" t="s">
        <v>426</v>
      </c>
      <c r="B94" s="27" t="s">
        <v>1449</v>
      </c>
      <c r="C94" s="27" t="s">
        <v>204</v>
      </c>
      <c r="D94" s="27" t="s">
        <v>718</v>
      </c>
      <c r="E94" s="27" t="s">
        <v>379</v>
      </c>
      <c r="F94" s="27" t="s">
        <v>1568</v>
      </c>
      <c r="G94" s="27" t="s">
        <v>1569</v>
      </c>
      <c r="H94" s="27" t="s">
        <v>477</v>
      </c>
      <c r="I94" s="27" t="s">
        <v>415</v>
      </c>
      <c r="J94" s="27" t="s">
        <v>185</v>
      </c>
      <c r="K94" s="27" t="s">
        <v>1001</v>
      </c>
      <c r="M94" s="27" t="s">
        <v>82</v>
      </c>
      <c r="N94" s="27" t="s">
        <v>6</v>
      </c>
      <c r="R94" s="27" t="s">
        <v>733</v>
      </c>
      <c r="U94" s="40"/>
    </row>
    <row r="95" spans="1:24" ht="17.850000000000001" customHeight="1" x14ac:dyDescent="0.25">
      <c r="A95" s="26" t="s">
        <v>426</v>
      </c>
      <c r="B95" s="27" t="s">
        <v>1449</v>
      </c>
      <c r="C95" s="27" t="s">
        <v>208</v>
      </c>
      <c r="D95" s="27" t="s">
        <v>186</v>
      </c>
      <c r="E95" s="27" t="s">
        <v>379</v>
      </c>
      <c r="F95" s="27" t="s">
        <v>305</v>
      </c>
      <c r="G95" s="27" t="s">
        <v>1567</v>
      </c>
      <c r="H95" s="27" t="s">
        <v>477</v>
      </c>
      <c r="I95" s="27" t="s">
        <v>415</v>
      </c>
      <c r="J95" s="27" t="s">
        <v>186</v>
      </c>
      <c r="K95" s="27" t="s">
        <v>890</v>
      </c>
      <c r="M95" s="27" t="s">
        <v>82</v>
      </c>
      <c r="N95" s="27" t="s">
        <v>287</v>
      </c>
      <c r="R95" s="27" t="s">
        <v>733</v>
      </c>
      <c r="U95" s="40"/>
    </row>
    <row r="96" spans="1:24" ht="17.850000000000001" customHeight="1" x14ac:dyDescent="0.25">
      <c r="A96" s="26" t="s">
        <v>426</v>
      </c>
      <c r="B96" s="27" t="s">
        <v>1449</v>
      </c>
      <c r="C96" s="27" t="s">
        <v>209</v>
      </c>
      <c r="D96" s="27" t="s">
        <v>187</v>
      </c>
      <c r="E96" s="27" t="s">
        <v>379</v>
      </c>
      <c r="F96" s="27" t="s">
        <v>305</v>
      </c>
      <c r="G96" s="27" t="s">
        <v>1567</v>
      </c>
      <c r="H96" s="27" t="s">
        <v>477</v>
      </c>
      <c r="I96" s="27" t="s">
        <v>415</v>
      </c>
      <c r="J96" s="27" t="s">
        <v>187</v>
      </c>
      <c r="K96" s="27" t="s">
        <v>902</v>
      </c>
      <c r="M96" s="27" t="s">
        <v>82</v>
      </c>
      <c r="N96" s="27" t="s">
        <v>667</v>
      </c>
      <c r="R96" s="27" t="s">
        <v>733</v>
      </c>
      <c r="S96" s="42" t="s">
        <v>1445</v>
      </c>
      <c r="T96" s="42" t="s">
        <v>1109</v>
      </c>
      <c r="U96" s="43">
        <v>2</v>
      </c>
      <c r="V96" s="42" t="s">
        <v>1353</v>
      </c>
      <c r="W96" s="42" t="s">
        <v>1103</v>
      </c>
      <c r="X96" s="42" t="s">
        <v>1110</v>
      </c>
    </row>
    <row r="97" spans="1:24" ht="17.850000000000001" customHeight="1" x14ac:dyDescent="0.25">
      <c r="A97" s="26" t="s">
        <v>426</v>
      </c>
      <c r="B97" s="27" t="s">
        <v>1449</v>
      </c>
      <c r="C97" s="27" t="s">
        <v>210</v>
      </c>
      <c r="D97" s="27" t="s">
        <v>188</v>
      </c>
      <c r="E97" s="27" t="s">
        <v>379</v>
      </c>
      <c r="F97" s="27" t="s">
        <v>301</v>
      </c>
      <c r="G97" s="27" t="s">
        <v>1567</v>
      </c>
      <c r="H97" s="27" t="s">
        <v>477</v>
      </c>
      <c r="I97" s="27" t="s">
        <v>415</v>
      </c>
      <c r="J97" s="27" t="s">
        <v>189</v>
      </c>
      <c r="K97" s="27" t="s">
        <v>890</v>
      </c>
      <c r="M97" s="27" t="s">
        <v>82</v>
      </c>
      <c r="N97" s="27" t="s">
        <v>287</v>
      </c>
      <c r="R97" s="27" t="s">
        <v>733</v>
      </c>
      <c r="U97" s="40"/>
    </row>
    <row r="98" spans="1:24" ht="17.850000000000001" customHeight="1" x14ac:dyDescent="0.25">
      <c r="A98" s="26" t="s">
        <v>426</v>
      </c>
      <c r="B98" s="27" t="s">
        <v>1449</v>
      </c>
      <c r="C98" s="27" t="s">
        <v>211</v>
      </c>
      <c r="D98" s="27" t="s">
        <v>188</v>
      </c>
      <c r="E98" s="27" t="s">
        <v>379</v>
      </c>
      <c r="F98" s="27" t="s">
        <v>223</v>
      </c>
      <c r="G98" s="27" t="s">
        <v>1567</v>
      </c>
      <c r="H98" s="27" t="s">
        <v>477</v>
      </c>
      <c r="I98" s="27" t="s">
        <v>415</v>
      </c>
      <c r="J98" s="27" t="s">
        <v>190</v>
      </c>
      <c r="K98" s="27" t="s">
        <v>890</v>
      </c>
      <c r="M98" s="27" t="s">
        <v>82</v>
      </c>
      <c r="N98" s="27" t="s">
        <v>287</v>
      </c>
      <c r="R98" s="27" t="s">
        <v>733</v>
      </c>
      <c r="U98" s="40"/>
    </row>
    <row r="99" spans="1:24" ht="17.850000000000001" customHeight="1" x14ac:dyDescent="0.25">
      <c r="A99" s="26" t="s">
        <v>426</v>
      </c>
      <c r="B99" s="27" t="s">
        <v>1449</v>
      </c>
      <c r="C99" s="27" t="s">
        <v>212</v>
      </c>
      <c r="D99" s="27" t="s">
        <v>188</v>
      </c>
      <c r="E99" s="27" t="s">
        <v>379</v>
      </c>
      <c r="F99" s="27" t="s">
        <v>222</v>
      </c>
      <c r="G99" s="27" t="s">
        <v>1567</v>
      </c>
      <c r="H99" s="27" t="s">
        <v>477</v>
      </c>
      <c r="I99" s="27" t="s">
        <v>415</v>
      </c>
      <c r="J99" s="27" t="s">
        <v>191</v>
      </c>
      <c r="K99" s="27" t="s">
        <v>890</v>
      </c>
      <c r="M99" s="27" t="s">
        <v>82</v>
      </c>
      <c r="N99" s="27" t="s">
        <v>287</v>
      </c>
      <c r="R99" s="27" t="s">
        <v>733</v>
      </c>
      <c r="U99" s="40"/>
    </row>
    <row r="100" spans="1:24" ht="17.850000000000001" customHeight="1" x14ac:dyDescent="0.25">
      <c r="A100" s="26" t="s">
        <v>426</v>
      </c>
      <c r="B100" s="27" t="s">
        <v>1449</v>
      </c>
      <c r="C100" s="27" t="s">
        <v>213</v>
      </c>
      <c r="D100" s="27" t="s">
        <v>192</v>
      </c>
      <c r="E100" s="27" t="s">
        <v>379</v>
      </c>
      <c r="F100" s="27" t="s">
        <v>301</v>
      </c>
      <c r="G100" s="27" t="s">
        <v>1567</v>
      </c>
      <c r="H100" s="27" t="s">
        <v>477</v>
      </c>
      <c r="I100" s="27" t="s">
        <v>415</v>
      </c>
      <c r="J100" s="27" t="s">
        <v>193</v>
      </c>
      <c r="K100" s="27" t="s">
        <v>902</v>
      </c>
      <c r="M100" s="27" t="s">
        <v>82</v>
      </c>
      <c r="N100" s="27" t="s">
        <v>667</v>
      </c>
      <c r="R100" s="27" t="s">
        <v>733</v>
      </c>
      <c r="U100" s="40"/>
    </row>
    <row r="101" spans="1:24" ht="17.850000000000001" customHeight="1" x14ac:dyDescent="0.25">
      <c r="A101" s="26" t="s">
        <v>426</v>
      </c>
      <c r="B101" s="27" t="s">
        <v>1449</v>
      </c>
      <c r="C101" s="27" t="s">
        <v>214</v>
      </c>
      <c r="D101" s="27" t="s">
        <v>192</v>
      </c>
      <c r="E101" s="27" t="s">
        <v>379</v>
      </c>
      <c r="F101" s="27" t="s">
        <v>223</v>
      </c>
      <c r="G101" s="27" t="s">
        <v>1567</v>
      </c>
      <c r="H101" s="27" t="s">
        <v>477</v>
      </c>
      <c r="I101" s="27" t="s">
        <v>415</v>
      </c>
      <c r="J101" s="27" t="s">
        <v>194</v>
      </c>
      <c r="K101" s="27" t="s">
        <v>902</v>
      </c>
      <c r="M101" s="27" t="s">
        <v>82</v>
      </c>
      <c r="N101" s="27" t="s">
        <v>667</v>
      </c>
      <c r="R101" s="27" t="s">
        <v>733</v>
      </c>
      <c r="U101" s="40"/>
    </row>
    <row r="102" spans="1:24" ht="17.850000000000001" customHeight="1" x14ac:dyDescent="0.25">
      <c r="A102" s="26" t="s">
        <v>426</v>
      </c>
      <c r="B102" s="27" t="s">
        <v>1449</v>
      </c>
      <c r="C102" s="27" t="s">
        <v>215</v>
      </c>
      <c r="D102" s="27" t="s">
        <v>192</v>
      </c>
      <c r="E102" s="27" t="s">
        <v>379</v>
      </c>
      <c r="F102" s="27" t="s">
        <v>222</v>
      </c>
      <c r="G102" s="27" t="s">
        <v>1567</v>
      </c>
      <c r="H102" s="27" t="s">
        <v>477</v>
      </c>
      <c r="I102" s="27" t="s">
        <v>415</v>
      </c>
      <c r="J102" s="27" t="s">
        <v>195</v>
      </c>
      <c r="K102" s="27" t="s">
        <v>902</v>
      </c>
      <c r="M102" s="27" t="s">
        <v>82</v>
      </c>
      <c r="N102" s="27" t="s">
        <v>667</v>
      </c>
      <c r="R102" s="27" t="s">
        <v>733</v>
      </c>
      <c r="U102" s="40"/>
    </row>
    <row r="103" spans="1:24" ht="17.850000000000001" customHeight="1" x14ac:dyDescent="0.25">
      <c r="A103" s="26" t="s">
        <v>426</v>
      </c>
      <c r="B103" s="27" t="s">
        <v>1449</v>
      </c>
      <c r="C103" s="27" t="s">
        <v>216</v>
      </c>
      <c r="D103" s="27" t="s">
        <v>719</v>
      </c>
      <c r="E103" s="27" t="s">
        <v>379</v>
      </c>
      <c r="F103" s="27" t="s">
        <v>1570</v>
      </c>
      <c r="G103" s="27" t="s">
        <v>1567</v>
      </c>
      <c r="H103" s="27" t="s">
        <v>477</v>
      </c>
      <c r="I103" s="27" t="s">
        <v>415</v>
      </c>
      <c r="J103" s="27" t="s">
        <v>196</v>
      </c>
      <c r="K103" s="27" t="s">
        <v>207</v>
      </c>
      <c r="M103" s="27" t="s">
        <v>82</v>
      </c>
      <c r="N103" s="27" t="s">
        <v>6</v>
      </c>
      <c r="R103" s="27" t="s">
        <v>733</v>
      </c>
      <c r="S103" s="42" t="s">
        <v>1445</v>
      </c>
      <c r="T103" s="42" t="s">
        <v>1109</v>
      </c>
      <c r="U103" s="43">
        <v>3</v>
      </c>
      <c r="V103" s="42" t="s">
        <v>1353</v>
      </c>
      <c r="W103" s="42" t="s">
        <v>1103</v>
      </c>
      <c r="X103" s="42" t="s">
        <v>1110</v>
      </c>
    </row>
    <row r="104" spans="1:24" ht="17.850000000000001" customHeight="1" x14ac:dyDescent="0.25">
      <c r="A104" s="26" t="s">
        <v>426</v>
      </c>
      <c r="B104" s="27" t="s">
        <v>1449</v>
      </c>
      <c r="C104" s="27" t="s">
        <v>217</v>
      </c>
      <c r="D104" s="27" t="s">
        <v>719</v>
      </c>
      <c r="E104" s="27" t="s">
        <v>379</v>
      </c>
      <c r="F104" s="27" t="s">
        <v>1571</v>
      </c>
      <c r="G104" s="27" t="s">
        <v>1567</v>
      </c>
      <c r="H104" s="27" t="s">
        <v>477</v>
      </c>
      <c r="I104" s="27" t="s">
        <v>415</v>
      </c>
      <c r="J104" s="27" t="s">
        <v>205</v>
      </c>
      <c r="K104" s="27" t="s">
        <v>676</v>
      </c>
      <c r="M104" s="27" t="s">
        <v>82</v>
      </c>
      <c r="N104" s="27" t="s">
        <v>6</v>
      </c>
      <c r="R104" s="27" t="s">
        <v>733</v>
      </c>
    </row>
    <row r="105" spans="1:24" ht="17.850000000000001" customHeight="1" x14ac:dyDescent="0.25">
      <c r="A105" s="26" t="s">
        <v>426</v>
      </c>
      <c r="B105" s="27" t="s">
        <v>1449</v>
      </c>
      <c r="C105" s="27" t="s">
        <v>218</v>
      </c>
      <c r="D105" s="27" t="s">
        <v>719</v>
      </c>
      <c r="E105" s="27" t="s">
        <v>379</v>
      </c>
      <c r="F105" s="27" t="s">
        <v>1572</v>
      </c>
      <c r="G105" s="27" t="s">
        <v>1567</v>
      </c>
      <c r="H105" s="27" t="s">
        <v>477</v>
      </c>
      <c r="I105" s="27" t="s">
        <v>415</v>
      </c>
      <c r="J105" s="27" t="s">
        <v>206</v>
      </c>
      <c r="K105" s="27" t="s">
        <v>675</v>
      </c>
      <c r="M105" s="27" t="s">
        <v>82</v>
      </c>
      <c r="N105" s="27" t="s">
        <v>6</v>
      </c>
      <c r="P105" s="27" t="s">
        <v>677</v>
      </c>
      <c r="Q105" s="27">
        <v>1</v>
      </c>
      <c r="R105" s="27" t="s">
        <v>733</v>
      </c>
      <c r="S105" s="42" t="s">
        <v>1445</v>
      </c>
      <c r="T105" s="42" t="s">
        <v>1109</v>
      </c>
      <c r="U105" s="43">
        <v>4</v>
      </c>
      <c r="V105" s="42" t="s">
        <v>1353</v>
      </c>
      <c r="W105" s="42" t="s">
        <v>1103</v>
      </c>
      <c r="X105" s="42" t="s">
        <v>1110</v>
      </c>
    </row>
    <row r="106" spans="1:24" ht="17.850000000000001" customHeight="1" x14ac:dyDescent="0.25">
      <c r="A106" s="26" t="s">
        <v>426</v>
      </c>
      <c r="B106" s="27" t="s">
        <v>1449</v>
      </c>
      <c r="C106" s="27" t="s">
        <v>219</v>
      </c>
      <c r="D106" s="27" t="s">
        <v>197</v>
      </c>
      <c r="E106" s="27" t="s">
        <v>379</v>
      </c>
      <c r="F106" s="27" t="s">
        <v>302</v>
      </c>
      <c r="G106" s="27" t="s">
        <v>1569</v>
      </c>
      <c r="H106" s="27" t="s">
        <v>477</v>
      </c>
      <c r="I106" s="27" t="s">
        <v>415</v>
      </c>
      <c r="J106" s="27" t="s">
        <v>198</v>
      </c>
      <c r="K106" s="27" t="s">
        <v>1002</v>
      </c>
      <c r="M106" s="27" t="s">
        <v>82</v>
      </c>
      <c r="N106" s="27" t="s">
        <v>287</v>
      </c>
      <c r="R106" s="27" t="s">
        <v>733</v>
      </c>
    </row>
    <row r="107" spans="1:24" ht="17.850000000000001" customHeight="1" x14ac:dyDescent="0.25">
      <c r="A107" s="26" t="s">
        <v>426</v>
      </c>
      <c r="B107" s="27" t="s">
        <v>1449</v>
      </c>
      <c r="C107" s="27" t="s">
        <v>220</v>
      </c>
      <c r="D107" s="27" t="s">
        <v>720</v>
      </c>
      <c r="E107" s="27" t="s">
        <v>379</v>
      </c>
      <c r="F107" s="27" t="s">
        <v>1573</v>
      </c>
      <c r="G107" s="27" t="s">
        <v>1567</v>
      </c>
      <c r="H107" s="27" t="s">
        <v>477</v>
      </c>
      <c r="I107" s="27" t="s">
        <v>415</v>
      </c>
      <c r="J107" s="27" t="s">
        <v>199</v>
      </c>
      <c r="K107" s="27" t="s">
        <v>200</v>
      </c>
      <c r="M107" s="27" t="s">
        <v>82</v>
      </c>
      <c r="N107" s="27" t="s">
        <v>6</v>
      </c>
      <c r="P107" s="27" t="s">
        <v>688</v>
      </c>
      <c r="Q107" s="27">
        <v>1</v>
      </c>
      <c r="R107" s="27" t="s">
        <v>733</v>
      </c>
      <c r="S107" s="42" t="s">
        <v>1445</v>
      </c>
      <c r="T107" s="42" t="s">
        <v>1109</v>
      </c>
      <c r="U107" s="43">
        <v>5</v>
      </c>
      <c r="V107" s="42" t="s">
        <v>1353</v>
      </c>
      <c r="W107" s="42" t="s">
        <v>1103</v>
      </c>
      <c r="X107" s="42" t="s">
        <v>1110</v>
      </c>
    </row>
    <row r="108" spans="1:24" ht="17.850000000000001" customHeight="1" x14ac:dyDescent="0.25">
      <c r="A108" s="26" t="s">
        <v>426</v>
      </c>
      <c r="B108" s="27" t="s">
        <v>1449</v>
      </c>
      <c r="C108" s="27" t="s">
        <v>221</v>
      </c>
      <c r="D108" s="27" t="s">
        <v>201</v>
      </c>
      <c r="E108" s="27" t="s">
        <v>957</v>
      </c>
      <c r="F108" s="27" t="s">
        <v>224</v>
      </c>
      <c r="G108" s="30" t="s">
        <v>1574</v>
      </c>
      <c r="H108" s="27" t="s">
        <v>477</v>
      </c>
      <c r="I108" s="27" t="s">
        <v>415</v>
      </c>
      <c r="J108" s="27" t="s">
        <v>202</v>
      </c>
      <c r="K108" s="27" t="s">
        <v>890</v>
      </c>
      <c r="M108" s="27" t="s">
        <v>82</v>
      </c>
      <c r="N108" s="27" t="s">
        <v>287</v>
      </c>
      <c r="R108" s="27" t="s">
        <v>733</v>
      </c>
      <c r="S108" s="42" t="s">
        <v>1445</v>
      </c>
      <c r="T108" s="42" t="s">
        <v>1109</v>
      </c>
      <c r="U108" s="43">
        <v>6</v>
      </c>
      <c r="V108" s="42" t="s">
        <v>1353</v>
      </c>
      <c r="W108" s="42" t="s">
        <v>1103</v>
      </c>
      <c r="X108" s="42" t="s">
        <v>1110</v>
      </c>
    </row>
    <row r="109" spans="1:24" ht="17.850000000000001" customHeight="1" x14ac:dyDescent="0.25">
      <c r="A109" s="26" t="s">
        <v>426</v>
      </c>
      <c r="B109" s="27" t="s">
        <v>1450</v>
      </c>
      <c r="C109" s="27" t="s">
        <v>232</v>
      </c>
      <c r="D109" s="27" t="s">
        <v>1106</v>
      </c>
      <c r="E109" s="27" t="s">
        <v>1105</v>
      </c>
      <c r="F109" s="27" t="s">
        <v>1575</v>
      </c>
      <c r="G109" s="27" t="s">
        <v>99</v>
      </c>
      <c r="H109" s="27" t="s">
        <v>527</v>
      </c>
      <c r="I109" s="27" t="s">
        <v>415</v>
      </c>
      <c r="J109" s="27" t="s">
        <v>225</v>
      </c>
      <c r="K109" s="27" t="s">
        <v>958</v>
      </c>
      <c r="M109" s="27" t="s">
        <v>82</v>
      </c>
      <c r="N109" s="27" t="s">
        <v>6</v>
      </c>
      <c r="R109" s="27" t="s">
        <v>733</v>
      </c>
    </row>
    <row r="110" spans="1:24" ht="17.850000000000001" customHeight="1" x14ac:dyDescent="0.25">
      <c r="A110" s="26" t="s">
        <v>426</v>
      </c>
      <c r="B110" s="27" t="s">
        <v>1450</v>
      </c>
      <c r="C110" s="27" t="s">
        <v>233</v>
      </c>
      <c r="D110" s="27" t="s">
        <v>226</v>
      </c>
      <c r="E110" s="27" t="s">
        <v>394</v>
      </c>
      <c r="F110" s="27" t="s">
        <v>1576</v>
      </c>
      <c r="G110" s="27" t="s">
        <v>1577</v>
      </c>
      <c r="H110" s="27" t="s">
        <v>528</v>
      </c>
      <c r="I110" s="27" t="s">
        <v>415</v>
      </c>
      <c r="J110" s="27" t="s">
        <v>227</v>
      </c>
      <c r="K110" s="27" t="s">
        <v>228</v>
      </c>
      <c r="M110" s="27" t="s">
        <v>82</v>
      </c>
      <c r="N110" s="27" t="s">
        <v>6</v>
      </c>
      <c r="R110" s="27" t="s">
        <v>733</v>
      </c>
    </row>
    <row r="111" spans="1:24" ht="17.850000000000001" customHeight="1" x14ac:dyDescent="0.25">
      <c r="A111" s="26" t="s">
        <v>426</v>
      </c>
      <c r="B111" s="27" t="s">
        <v>1450</v>
      </c>
      <c r="C111" s="27" t="s">
        <v>234</v>
      </c>
      <c r="D111" s="27" t="s">
        <v>721</v>
      </c>
      <c r="E111" s="27" t="s">
        <v>395</v>
      </c>
      <c r="F111" s="27" t="s">
        <v>1578</v>
      </c>
      <c r="G111" s="27" t="s">
        <v>1577</v>
      </c>
      <c r="H111" s="27" t="s">
        <v>529</v>
      </c>
      <c r="I111" s="27" t="s">
        <v>415</v>
      </c>
      <c r="J111" s="27" t="s">
        <v>229</v>
      </c>
      <c r="K111" s="27" t="s">
        <v>248</v>
      </c>
      <c r="M111" s="27" t="s">
        <v>82</v>
      </c>
      <c r="N111" s="27" t="s">
        <v>6</v>
      </c>
      <c r="R111" s="27" t="s">
        <v>733</v>
      </c>
    </row>
    <row r="112" spans="1:24" ht="17.850000000000001" customHeight="1" x14ac:dyDescent="0.25">
      <c r="A112" s="26" t="s">
        <v>426</v>
      </c>
      <c r="B112" s="27" t="s">
        <v>1450</v>
      </c>
      <c r="C112" s="27" t="s">
        <v>235</v>
      </c>
      <c r="D112" s="27" t="s">
        <v>721</v>
      </c>
      <c r="E112" s="27" t="s">
        <v>395</v>
      </c>
      <c r="F112" s="27" t="s">
        <v>1579</v>
      </c>
      <c r="G112" s="27" t="s">
        <v>1577</v>
      </c>
      <c r="H112" s="27" t="s">
        <v>530</v>
      </c>
      <c r="I112" s="27" t="s">
        <v>415</v>
      </c>
      <c r="J112" s="27" t="s">
        <v>230</v>
      </c>
      <c r="K112" s="27" t="s">
        <v>231</v>
      </c>
      <c r="M112" s="27" t="s">
        <v>82</v>
      </c>
      <c r="N112" s="27" t="s">
        <v>6</v>
      </c>
      <c r="R112" s="27" t="s">
        <v>733</v>
      </c>
    </row>
    <row r="113" spans="1:24" ht="17.850000000000001" customHeight="1" x14ac:dyDescent="0.25">
      <c r="A113" s="26" t="s">
        <v>426</v>
      </c>
      <c r="B113" s="27" t="s">
        <v>1451</v>
      </c>
      <c r="C113" s="27" t="s">
        <v>250</v>
      </c>
      <c r="D113" s="27" t="s">
        <v>1107</v>
      </c>
      <c r="E113" s="27" t="s">
        <v>1112</v>
      </c>
      <c r="F113" s="27" t="s">
        <v>1580</v>
      </c>
      <c r="G113" s="27" t="s">
        <v>99</v>
      </c>
      <c r="H113" s="27" t="s">
        <v>531</v>
      </c>
      <c r="I113" s="27" t="s">
        <v>415</v>
      </c>
      <c r="J113" s="27" t="s">
        <v>236</v>
      </c>
      <c r="K113" s="27" t="s">
        <v>959</v>
      </c>
      <c r="M113" s="27" t="s">
        <v>82</v>
      </c>
      <c r="N113" s="27" t="s">
        <v>6</v>
      </c>
      <c r="R113" s="27" t="s">
        <v>733</v>
      </c>
      <c r="S113" s="46" t="s">
        <v>1346</v>
      </c>
      <c r="T113" s="42" t="s">
        <v>1364</v>
      </c>
      <c r="U113" s="43">
        <v>6</v>
      </c>
      <c r="V113" s="42" t="s">
        <v>1347</v>
      </c>
      <c r="W113" s="42" t="s">
        <v>1348</v>
      </c>
      <c r="X113" s="46" t="s">
        <v>1370</v>
      </c>
    </row>
    <row r="114" spans="1:24" ht="17.850000000000001" customHeight="1" x14ac:dyDescent="0.25">
      <c r="A114" s="26" t="s">
        <v>426</v>
      </c>
      <c r="B114" s="27" t="s">
        <v>1451</v>
      </c>
      <c r="C114" s="27" t="s">
        <v>427</v>
      </c>
      <c r="D114" s="27" t="s">
        <v>237</v>
      </c>
      <c r="E114" s="27" t="s">
        <v>396</v>
      </c>
      <c r="F114" s="30" t="s">
        <v>1581</v>
      </c>
      <c r="G114" s="27" t="s">
        <v>1582</v>
      </c>
      <c r="H114" s="27" t="s">
        <v>532</v>
      </c>
      <c r="I114" s="27" t="s">
        <v>415</v>
      </c>
      <c r="J114" s="27" t="s">
        <v>238</v>
      </c>
      <c r="K114" s="27" t="s">
        <v>228</v>
      </c>
      <c r="M114" s="27" t="s">
        <v>82</v>
      </c>
      <c r="N114" s="27" t="s">
        <v>6</v>
      </c>
      <c r="R114" s="27" t="s">
        <v>733</v>
      </c>
    </row>
    <row r="115" spans="1:24" ht="17.850000000000001" customHeight="1" x14ac:dyDescent="0.25">
      <c r="A115" s="26" t="s">
        <v>426</v>
      </c>
      <c r="B115" s="27" t="s">
        <v>1451</v>
      </c>
      <c r="C115" s="27" t="s">
        <v>428</v>
      </c>
      <c r="D115" s="27" t="s">
        <v>237</v>
      </c>
      <c r="E115" s="27" t="s">
        <v>396</v>
      </c>
      <c r="F115" s="30" t="s">
        <v>1583</v>
      </c>
      <c r="G115" s="27" t="s">
        <v>1582</v>
      </c>
      <c r="H115" s="27" t="s">
        <v>533</v>
      </c>
      <c r="I115" s="27" t="s">
        <v>415</v>
      </c>
      <c r="J115" s="27" t="s">
        <v>240</v>
      </c>
      <c r="K115" s="27" t="s">
        <v>239</v>
      </c>
      <c r="M115" s="27" t="s">
        <v>82</v>
      </c>
      <c r="N115" s="27" t="s">
        <v>6</v>
      </c>
      <c r="R115" s="27" t="s">
        <v>733</v>
      </c>
    </row>
    <row r="116" spans="1:24" ht="17.850000000000001" customHeight="1" x14ac:dyDescent="0.25">
      <c r="A116" s="26" t="s">
        <v>426</v>
      </c>
      <c r="B116" s="27" t="s">
        <v>1451</v>
      </c>
      <c r="C116" s="27" t="s">
        <v>251</v>
      </c>
      <c r="D116" s="27" t="s">
        <v>960</v>
      </c>
      <c r="E116" s="27" t="s">
        <v>397</v>
      </c>
      <c r="F116" s="27" t="s">
        <v>1584</v>
      </c>
      <c r="G116" s="27" t="s">
        <v>1582</v>
      </c>
      <c r="H116" s="27" t="s">
        <v>534</v>
      </c>
      <c r="I116" s="27" t="s">
        <v>415</v>
      </c>
      <c r="J116" s="27" t="s">
        <v>241</v>
      </c>
      <c r="K116" s="27" t="s">
        <v>248</v>
      </c>
      <c r="M116" s="27" t="s">
        <v>82</v>
      </c>
      <c r="N116" s="27" t="s">
        <v>6</v>
      </c>
      <c r="R116" s="27" t="s">
        <v>733</v>
      </c>
    </row>
    <row r="117" spans="1:24" ht="17.850000000000001" customHeight="1" x14ac:dyDescent="0.25">
      <c r="A117" s="26" t="s">
        <v>426</v>
      </c>
      <c r="B117" s="27" t="s">
        <v>1451</v>
      </c>
      <c r="C117" s="27" t="s">
        <v>252</v>
      </c>
      <c r="D117" s="27" t="s">
        <v>960</v>
      </c>
      <c r="E117" s="27" t="s">
        <v>397</v>
      </c>
      <c r="F117" s="27" t="s">
        <v>1585</v>
      </c>
      <c r="G117" s="27" t="s">
        <v>1582</v>
      </c>
      <c r="H117" s="27" t="s">
        <v>535</v>
      </c>
      <c r="I117" s="27" t="s">
        <v>415</v>
      </c>
      <c r="J117" s="27" t="s">
        <v>242</v>
      </c>
      <c r="K117" s="27" t="s">
        <v>243</v>
      </c>
      <c r="M117" s="27" t="s">
        <v>82</v>
      </c>
      <c r="N117" s="27" t="s">
        <v>6</v>
      </c>
      <c r="R117" s="27" t="s">
        <v>733</v>
      </c>
    </row>
    <row r="118" spans="1:24" ht="17.850000000000001" customHeight="1" x14ac:dyDescent="0.25">
      <c r="A118" s="26" t="s">
        <v>426</v>
      </c>
      <c r="B118" s="27" t="s">
        <v>1452</v>
      </c>
      <c r="C118" s="27" t="s">
        <v>253</v>
      </c>
      <c r="D118" s="27" t="s">
        <v>1108</v>
      </c>
      <c r="E118" s="27" t="s">
        <v>1104</v>
      </c>
      <c r="F118" s="27" t="s">
        <v>1586</v>
      </c>
      <c r="G118" s="27" t="s">
        <v>99</v>
      </c>
      <c r="H118" s="27" t="s">
        <v>536</v>
      </c>
      <c r="I118" s="27" t="s">
        <v>415</v>
      </c>
      <c r="J118" s="27" t="s">
        <v>244</v>
      </c>
      <c r="K118" s="27" t="s">
        <v>958</v>
      </c>
      <c r="M118" s="27" t="s">
        <v>82</v>
      </c>
      <c r="N118" s="27" t="s">
        <v>6</v>
      </c>
      <c r="R118" s="27" t="s">
        <v>733</v>
      </c>
    </row>
    <row r="119" spans="1:24" ht="17.850000000000001" customHeight="1" x14ac:dyDescent="0.25">
      <c r="A119" s="26" t="s">
        <v>426</v>
      </c>
      <c r="B119" s="27" t="s">
        <v>1452</v>
      </c>
      <c r="C119" s="27" t="s">
        <v>254</v>
      </c>
      <c r="D119" s="27" t="s">
        <v>245</v>
      </c>
      <c r="E119" s="28" t="s">
        <v>398</v>
      </c>
      <c r="F119" s="27" t="s">
        <v>1587</v>
      </c>
      <c r="G119" s="27" t="s">
        <v>1588</v>
      </c>
      <c r="H119" s="27" t="s">
        <v>537</v>
      </c>
      <c r="I119" s="27" t="s">
        <v>415</v>
      </c>
      <c r="J119" s="27" t="s">
        <v>246</v>
      </c>
      <c r="K119" s="27" t="s">
        <v>228</v>
      </c>
      <c r="M119" s="27" t="s">
        <v>82</v>
      </c>
      <c r="N119" s="27" t="s">
        <v>6</v>
      </c>
      <c r="R119" s="27" t="s">
        <v>733</v>
      </c>
    </row>
    <row r="120" spans="1:24" ht="17.850000000000001" customHeight="1" x14ac:dyDescent="0.25">
      <c r="A120" s="26" t="s">
        <v>426</v>
      </c>
      <c r="B120" s="27" t="s">
        <v>1452</v>
      </c>
      <c r="C120" s="27" t="s">
        <v>255</v>
      </c>
      <c r="D120" s="27" t="s">
        <v>961</v>
      </c>
      <c r="E120" s="27" t="s">
        <v>399</v>
      </c>
      <c r="F120" s="27" t="s">
        <v>1589</v>
      </c>
      <c r="G120" s="27" t="s">
        <v>1588</v>
      </c>
      <c r="H120" s="27" t="s">
        <v>538</v>
      </c>
      <c r="I120" s="27" t="s">
        <v>415</v>
      </c>
      <c r="J120" s="27" t="s">
        <v>247</v>
      </c>
      <c r="K120" s="27" t="s">
        <v>248</v>
      </c>
      <c r="M120" s="27" t="s">
        <v>82</v>
      </c>
      <c r="N120" s="27" t="s">
        <v>6</v>
      </c>
      <c r="R120" s="27" t="s">
        <v>733</v>
      </c>
    </row>
    <row r="121" spans="1:24" s="62" customFormat="1" ht="17.850000000000001" customHeight="1" x14ac:dyDescent="0.25">
      <c r="A121" s="26" t="s">
        <v>426</v>
      </c>
      <c r="B121" s="27" t="s">
        <v>1452</v>
      </c>
      <c r="C121" s="62" t="s">
        <v>256</v>
      </c>
      <c r="D121" s="62" t="s">
        <v>961</v>
      </c>
      <c r="E121" s="62" t="s">
        <v>399</v>
      </c>
      <c r="F121" s="62" t="s">
        <v>1590</v>
      </c>
      <c r="G121" s="62" t="s">
        <v>1588</v>
      </c>
      <c r="H121" s="62" t="s">
        <v>539</v>
      </c>
      <c r="I121" s="62" t="s">
        <v>415</v>
      </c>
      <c r="J121" s="62" t="s">
        <v>249</v>
      </c>
      <c r="K121" s="62" t="s">
        <v>231</v>
      </c>
      <c r="M121" s="62" t="s">
        <v>82</v>
      </c>
      <c r="N121" s="62" t="s">
        <v>6</v>
      </c>
      <c r="R121" s="62" t="s">
        <v>733</v>
      </c>
    </row>
    <row r="122" spans="1:24" s="62" customFormat="1" ht="17.850000000000001" customHeight="1" x14ac:dyDescent="0.25">
      <c r="A122" s="26" t="s">
        <v>426</v>
      </c>
      <c r="B122" s="62" t="s">
        <v>1453</v>
      </c>
      <c r="C122" s="62" t="s">
        <v>262</v>
      </c>
      <c r="D122" s="62" t="s">
        <v>1707</v>
      </c>
      <c r="E122" s="62" t="s">
        <v>400</v>
      </c>
      <c r="F122" s="62" t="s">
        <v>1591</v>
      </c>
      <c r="G122" s="62" t="s">
        <v>82</v>
      </c>
      <c r="H122" s="62" t="s">
        <v>540</v>
      </c>
      <c r="I122" s="62" t="s">
        <v>415</v>
      </c>
      <c r="J122" s="62" t="s">
        <v>962</v>
      </c>
      <c r="K122" s="62" t="s">
        <v>257</v>
      </c>
      <c r="M122" s="62" t="s">
        <v>82</v>
      </c>
      <c r="N122" s="62" t="s">
        <v>6</v>
      </c>
      <c r="R122" s="62" t="s">
        <v>733</v>
      </c>
      <c r="S122" s="63" t="s">
        <v>342</v>
      </c>
      <c r="T122" s="46" t="s">
        <v>1409</v>
      </c>
      <c r="U122" s="64">
        <v>1</v>
      </c>
      <c r="V122" s="63" t="s">
        <v>1343</v>
      </c>
      <c r="W122" s="63" t="s">
        <v>1344</v>
      </c>
      <c r="X122" s="63" t="s">
        <v>1410</v>
      </c>
    </row>
    <row r="123" spans="1:24" ht="17.850000000000001" customHeight="1" x14ac:dyDescent="0.25">
      <c r="A123" s="26" t="s">
        <v>426</v>
      </c>
      <c r="B123" s="62" t="s">
        <v>1453</v>
      </c>
      <c r="C123" s="27" t="s">
        <v>263</v>
      </c>
      <c r="D123" s="27" t="s">
        <v>722</v>
      </c>
      <c r="E123" s="28" t="s">
        <v>657</v>
      </c>
      <c r="F123" s="27" t="s">
        <v>1592</v>
      </c>
      <c r="G123" s="27" t="s">
        <v>82</v>
      </c>
      <c r="H123" s="27" t="s">
        <v>541</v>
      </c>
      <c r="I123" s="27" t="s">
        <v>415</v>
      </c>
      <c r="J123" s="27" t="s">
        <v>258</v>
      </c>
      <c r="K123" s="27" t="s">
        <v>259</v>
      </c>
      <c r="M123" s="27" t="s">
        <v>82</v>
      </c>
      <c r="N123" s="27" t="s">
        <v>6</v>
      </c>
      <c r="R123" s="27" t="s">
        <v>733</v>
      </c>
    </row>
    <row r="124" spans="1:24" ht="17.850000000000001" customHeight="1" x14ac:dyDescent="0.25">
      <c r="A124" s="26" t="s">
        <v>426</v>
      </c>
      <c r="B124" s="62" t="s">
        <v>1453</v>
      </c>
      <c r="C124" s="27" t="s">
        <v>264</v>
      </c>
      <c r="D124" s="27" t="s">
        <v>722</v>
      </c>
      <c r="E124" s="27" t="s">
        <v>657</v>
      </c>
      <c r="F124" s="27" t="s">
        <v>1593</v>
      </c>
      <c r="G124" s="27" t="s">
        <v>82</v>
      </c>
      <c r="H124" s="27" t="s">
        <v>542</v>
      </c>
      <c r="I124" s="27" t="s">
        <v>415</v>
      </c>
      <c r="J124" s="27" t="s">
        <v>260</v>
      </c>
      <c r="K124" s="27" t="s">
        <v>261</v>
      </c>
      <c r="M124" s="27" t="s">
        <v>82</v>
      </c>
      <c r="N124" s="27" t="s">
        <v>6</v>
      </c>
      <c r="R124" s="27" t="s">
        <v>733</v>
      </c>
    </row>
    <row r="125" spans="1:24" ht="17.850000000000001" customHeight="1" x14ac:dyDescent="0.25">
      <c r="A125" s="26" t="s">
        <v>426</v>
      </c>
      <c r="B125" s="27" t="s">
        <v>1454</v>
      </c>
      <c r="C125" s="27" t="s">
        <v>272</v>
      </c>
      <c r="D125" s="27" t="s">
        <v>1702</v>
      </c>
      <c r="E125" s="27" t="s">
        <v>1703</v>
      </c>
      <c r="F125" s="27" t="s">
        <v>1594</v>
      </c>
      <c r="G125" s="27" t="s">
        <v>82</v>
      </c>
      <c r="H125" s="27" t="s">
        <v>543</v>
      </c>
      <c r="I125" s="27" t="s">
        <v>415</v>
      </c>
      <c r="J125" s="27" t="s">
        <v>265</v>
      </c>
      <c r="K125" s="27" t="s">
        <v>266</v>
      </c>
      <c r="M125" s="27" t="s">
        <v>82</v>
      </c>
      <c r="N125" s="27" t="s">
        <v>6</v>
      </c>
      <c r="R125" s="27" t="s">
        <v>733</v>
      </c>
      <c r="S125" s="63" t="s">
        <v>1416</v>
      </c>
      <c r="T125" s="63" t="s">
        <v>1419</v>
      </c>
      <c r="U125" s="64">
        <v>1</v>
      </c>
      <c r="V125" s="63" t="s">
        <v>1417</v>
      </c>
      <c r="W125" s="63" t="s">
        <v>1418</v>
      </c>
      <c r="X125" s="63" t="s">
        <v>1424</v>
      </c>
    </row>
    <row r="126" spans="1:24" ht="17.850000000000001" customHeight="1" x14ac:dyDescent="0.25">
      <c r="A126" s="26" t="s">
        <v>426</v>
      </c>
      <c r="B126" s="27" t="s">
        <v>1454</v>
      </c>
      <c r="C126" s="27" t="s">
        <v>273</v>
      </c>
      <c r="D126" s="27" t="s">
        <v>1702</v>
      </c>
      <c r="E126" s="27" t="s">
        <v>1703</v>
      </c>
      <c r="F126" s="27" t="s">
        <v>1595</v>
      </c>
      <c r="G126" s="27" t="s">
        <v>82</v>
      </c>
      <c r="H126" s="27" t="s">
        <v>544</v>
      </c>
      <c r="I126" s="27" t="s">
        <v>415</v>
      </c>
      <c r="J126" s="27" t="s">
        <v>267</v>
      </c>
      <c r="K126" s="27" t="s">
        <v>266</v>
      </c>
      <c r="M126" s="27" t="s">
        <v>82</v>
      </c>
      <c r="N126" s="27" t="s">
        <v>6</v>
      </c>
      <c r="R126" s="27" t="s">
        <v>733</v>
      </c>
      <c r="S126" s="63" t="s">
        <v>1416</v>
      </c>
      <c r="T126" s="63" t="s">
        <v>1420</v>
      </c>
      <c r="U126" s="64">
        <v>1</v>
      </c>
      <c r="V126" s="63" t="s">
        <v>1417</v>
      </c>
      <c r="W126" s="63" t="s">
        <v>1418</v>
      </c>
      <c r="X126" s="63" t="s">
        <v>1423</v>
      </c>
    </row>
    <row r="127" spans="1:24" ht="17.850000000000001" customHeight="1" x14ac:dyDescent="0.25">
      <c r="A127" s="26" t="s">
        <v>426</v>
      </c>
      <c r="B127" s="27" t="s">
        <v>1454</v>
      </c>
      <c r="C127" s="27" t="s">
        <v>274</v>
      </c>
      <c r="D127" s="27" t="s">
        <v>1702</v>
      </c>
      <c r="E127" s="27" t="s">
        <v>1703</v>
      </c>
      <c r="F127" s="27" t="s">
        <v>1596</v>
      </c>
      <c r="G127" s="27" t="s">
        <v>82</v>
      </c>
      <c r="H127" s="27" t="s">
        <v>545</v>
      </c>
      <c r="I127" s="27" t="s">
        <v>415</v>
      </c>
      <c r="J127" s="27" t="s">
        <v>268</v>
      </c>
      <c r="K127" s="27" t="s">
        <v>266</v>
      </c>
      <c r="M127" s="27" t="s">
        <v>82</v>
      </c>
      <c r="N127" s="27" t="s">
        <v>6</v>
      </c>
      <c r="R127" s="27" t="s">
        <v>733</v>
      </c>
      <c r="S127" s="63" t="s">
        <v>1416</v>
      </c>
      <c r="T127" s="63" t="s">
        <v>1420</v>
      </c>
      <c r="U127" s="64">
        <v>2</v>
      </c>
      <c r="V127" s="63" t="s">
        <v>1417</v>
      </c>
      <c r="W127" s="63" t="s">
        <v>1418</v>
      </c>
      <c r="X127" s="63" t="s">
        <v>1423</v>
      </c>
    </row>
    <row r="128" spans="1:24" ht="17.850000000000001" customHeight="1" x14ac:dyDescent="0.25">
      <c r="A128" s="26" t="s">
        <v>426</v>
      </c>
      <c r="B128" s="27" t="s">
        <v>1454</v>
      </c>
      <c r="C128" s="27" t="s">
        <v>275</v>
      </c>
      <c r="D128" s="27" t="s">
        <v>1702</v>
      </c>
      <c r="E128" s="27" t="s">
        <v>1703</v>
      </c>
      <c r="F128" s="27" t="s">
        <v>1597</v>
      </c>
      <c r="G128" s="27" t="s">
        <v>82</v>
      </c>
      <c r="H128" s="27" t="s">
        <v>546</v>
      </c>
      <c r="I128" s="27" t="s">
        <v>415</v>
      </c>
      <c r="J128" s="27" t="s">
        <v>269</v>
      </c>
      <c r="K128" s="27" t="s">
        <v>266</v>
      </c>
      <c r="M128" s="27" t="s">
        <v>82</v>
      </c>
      <c r="N128" s="27" t="s">
        <v>6</v>
      </c>
      <c r="R128" s="27" t="s">
        <v>733</v>
      </c>
      <c r="S128" s="63" t="s">
        <v>1416</v>
      </c>
      <c r="T128" s="63" t="s">
        <v>1420</v>
      </c>
      <c r="U128" s="64">
        <v>3</v>
      </c>
      <c r="V128" s="63" t="s">
        <v>1417</v>
      </c>
      <c r="W128" s="63" t="s">
        <v>1418</v>
      </c>
      <c r="X128" s="63" t="s">
        <v>1423</v>
      </c>
    </row>
    <row r="129" spans="1:24" ht="17.850000000000001" customHeight="1" x14ac:dyDescent="0.25">
      <c r="A129" s="26" t="s">
        <v>426</v>
      </c>
      <c r="B129" s="27" t="s">
        <v>1454</v>
      </c>
      <c r="C129" s="27" t="s">
        <v>276</v>
      </c>
      <c r="D129" s="27" t="s">
        <v>1702</v>
      </c>
      <c r="E129" s="27" t="s">
        <v>1703</v>
      </c>
      <c r="F129" s="27" t="s">
        <v>1598</v>
      </c>
      <c r="G129" s="27" t="s">
        <v>82</v>
      </c>
      <c r="H129" s="27" t="s">
        <v>547</v>
      </c>
      <c r="I129" s="27" t="s">
        <v>415</v>
      </c>
      <c r="J129" s="27" t="s">
        <v>270</v>
      </c>
      <c r="K129" s="27" t="s">
        <v>266</v>
      </c>
      <c r="M129" s="27" t="s">
        <v>82</v>
      </c>
      <c r="N129" s="27" t="s">
        <v>6</v>
      </c>
      <c r="R129" s="27" t="s">
        <v>733</v>
      </c>
      <c r="S129" s="63" t="s">
        <v>1416</v>
      </c>
      <c r="T129" s="63" t="s">
        <v>1421</v>
      </c>
      <c r="U129" s="64">
        <v>1</v>
      </c>
      <c r="V129" s="63" t="s">
        <v>1417</v>
      </c>
      <c r="W129" s="63" t="s">
        <v>1418</v>
      </c>
      <c r="X129" s="63" t="s">
        <v>1425</v>
      </c>
    </row>
    <row r="130" spans="1:24" ht="17.850000000000001" customHeight="1" x14ac:dyDescent="0.25">
      <c r="A130" s="26" t="s">
        <v>426</v>
      </c>
      <c r="B130" s="27" t="s">
        <v>1454</v>
      </c>
      <c r="C130" s="27" t="s">
        <v>277</v>
      </c>
      <c r="D130" s="27" t="s">
        <v>1702</v>
      </c>
      <c r="E130" s="27" t="s">
        <v>1703</v>
      </c>
      <c r="F130" s="27" t="s">
        <v>1599</v>
      </c>
      <c r="G130" s="27" t="s">
        <v>82</v>
      </c>
      <c r="H130" s="27" t="s">
        <v>548</v>
      </c>
      <c r="I130" s="27" t="s">
        <v>415</v>
      </c>
      <c r="J130" s="27" t="s">
        <v>271</v>
      </c>
      <c r="K130" s="27" t="s">
        <v>266</v>
      </c>
      <c r="M130" s="27" t="s">
        <v>82</v>
      </c>
      <c r="N130" s="27" t="s">
        <v>6</v>
      </c>
      <c r="R130" s="27" t="s">
        <v>733</v>
      </c>
      <c r="S130" s="63" t="s">
        <v>1416</v>
      </c>
      <c r="T130" s="63" t="s">
        <v>1422</v>
      </c>
      <c r="U130" s="64">
        <v>1</v>
      </c>
      <c r="V130" s="63" t="s">
        <v>1417</v>
      </c>
      <c r="W130" s="63" t="s">
        <v>1418</v>
      </c>
      <c r="X130" s="63" t="s">
        <v>1426</v>
      </c>
    </row>
    <row r="131" spans="1:24" ht="17.850000000000001" customHeight="1" x14ac:dyDescent="0.25">
      <c r="A131" s="26" t="s">
        <v>426</v>
      </c>
      <c r="B131" s="27" t="s">
        <v>1454</v>
      </c>
      <c r="C131" s="27" t="s">
        <v>303</v>
      </c>
      <c r="D131" s="27" t="s">
        <v>1702</v>
      </c>
      <c r="E131" s="27" t="s">
        <v>1703</v>
      </c>
      <c r="F131" s="27" t="s">
        <v>1600</v>
      </c>
      <c r="G131" s="27" t="s">
        <v>82</v>
      </c>
      <c r="H131" s="27" t="s">
        <v>549</v>
      </c>
      <c r="I131" s="27" t="s">
        <v>415</v>
      </c>
      <c r="J131" s="27" t="s">
        <v>304</v>
      </c>
      <c r="K131" s="27" t="s">
        <v>266</v>
      </c>
      <c r="M131" s="27" t="s">
        <v>82</v>
      </c>
      <c r="N131" s="27" t="s">
        <v>6</v>
      </c>
      <c r="R131" s="27" t="s">
        <v>733</v>
      </c>
      <c r="S131" s="63" t="s">
        <v>1416</v>
      </c>
      <c r="T131" s="63" t="s">
        <v>1420</v>
      </c>
      <c r="U131" s="64">
        <v>4</v>
      </c>
      <c r="V131" s="63" t="s">
        <v>1417</v>
      </c>
      <c r="W131" s="63" t="s">
        <v>1418</v>
      </c>
      <c r="X131" s="63" t="s">
        <v>1423</v>
      </c>
    </row>
    <row r="132" spans="1:24" ht="15.75" x14ac:dyDescent="0.25">
      <c r="A132" s="26" t="s">
        <v>426</v>
      </c>
      <c r="B132" s="33" t="s">
        <v>1435</v>
      </c>
      <c r="C132" s="33" t="s">
        <v>662</v>
      </c>
      <c r="D132" s="33" t="s">
        <v>664</v>
      </c>
      <c r="E132" s="33" t="s">
        <v>1114</v>
      </c>
      <c r="F132" s="33" t="s">
        <v>1601</v>
      </c>
      <c r="G132" s="33" t="s">
        <v>1602</v>
      </c>
      <c r="H132" s="33" t="s">
        <v>550</v>
      </c>
      <c r="I132" s="33" t="s">
        <v>415</v>
      </c>
      <c r="J132" s="33" t="s">
        <v>624</v>
      </c>
      <c r="K132" s="33" t="s">
        <v>278</v>
      </c>
      <c r="L132" s="33"/>
      <c r="M132" s="33" t="s">
        <v>665</v>
      </c>
      <c r="N132" s="33" t="s">
        <v>6</v>
      </c>
      <c r="O132" s="33"/>
      <c r="P132" s="33"/>
      <c r="Q132" s="33"/>
      <c r="R132" s="33" t="s">
        <v>733</v>
      </c>
      <c r="S132" s="63" t="s">
        <v>1434</v>
      </c>
      <c r="T132" s="63" t="s">
        <v>1433</v>
      </c>
      <c r="U132" s="64">
        <v>1</v>
      </c>
      <c r="V132" s="63" t="s">
        <v>1431</v>
      </c>
      <c r="W132" s="63" t="s">
        <v>1432</v>
      </c>
      <c r="X132" s="63" t="s">
        <v>1437</v>
      </c>
    </row>
    <row r="133" spans="1:24" ht="15.75" x14ac:dyDescent="0.25">
      <c r="A133" s="26" t="s">
        <v>426</v>
      </c>
      <c r="B133" s="33" t="s">
        <v>1435</v>
      </c>
      <c r="C133" s="33" t="s">
        <v>663</v>
      </c>
      <c r="D133" s="33" t="s">
        <v>664</v>
      </c>
      <c r="E133" s="33" t="s">
        <v>1114</v>
      </c>
      <c r="F133" s="33" t="s">
        <v>1601</v>
      </c>
      <c r="G133" s="33" t="s">
        <v>1695</v>
      </c>
      <c r="H133" s="33" t="s">
        <v>551</v>
      </c>
      <c r="I133" s="33" t="s">
        <v>415</v>
      </c>
      <c r="J133" s="33" t="s">
        <v>625</v>
      </c>
      <c r="K133" s="33" t="s">
        <v>278</v>
      </c>
      <c r="L133" s="33"/>
      <c r="M133" s="33" t="s">
        <v>665</v>
      </c>
      <c r="N133" s="33" t="s">
        <v>6</v>
      </c>
      <c r="O133" s="33"/>
      <c r="P133" s="33" t="s">
        <v>687</v>
      </c>
      <c r="Q133" s="33">
        <v>1</v>
      </c>
      <c r="R133" s="33" t="s">
        <v>734</v>
      </c>
    </row>
    <row r="134" spans="1:24" s="54" customFormat="1" ht="15.75" x14ac:dyDescent="0.25">
      <c r="A134" s="26" t="s">
        <v>426</v>
      </c>
      <c r="B134" s="33" t="s">
        <v>1435</v>
      </c>
      <c r="C134" s="33" t="s">
        <v>1115</v>
      </c>
      <c r="D134" s="33" t="s">
        <v>1116</v>
      </c>
      <c r="E134" s="33" t="s">
        <v>1117</v>
      </c>
      <c r="F134" s="33" t="s">
        <v>1118</v>
      </c>
      <c r="G134" s="33" t="s">
        <v>1603</v>
      </c>
      <c r="H134" s="33" t="s">
        <v>1119</v>
      </c>
      <c r="I134" s="33" t="s">
        <v>415</v>
      </c>
      <c r="J134" s="33" t="s">
        <v>1120</v>
      </c>
      <c r="K134" s="33" t="s">
        <v>287</v>
      </c>
      <c r="L134" s="33"/>
      <c r="M134" s="33" t="s">
        <v>665</v>
      </c>
      <c r="N134" s="33" t="s">
        <v>287</v>
      </c>
      <c r="O134" s="33"/>
      <c r="P134" s="33"/>
      <c r="Q134" s="33"/>
      <c r="R134" s="33" t="s">
        <v>733</v>
      </c>
      <c r="S134" s="27"/>
      <c r="T134" s="27"/>
      <c r="U134" s="40"/>
      <c r="V134" s="27"/>
      <c r="W134" s="27"/>
      <c r="X134" s="27"/>
    </row>
    <row r="135" spans="1:24" s="54" customFormat="1" ht="15.75" x14ac:dyDescent="0.25">
      <c r="A135" s="26" t="s">
        <v>426</v>
      </c>
      <c r="B135" s="33" t="s">
        <v>1435</v>
      </c>
      <c r="C135" s="33" t="s">
        <v>1121</v>
      </c>
      <c r="D135" s="33" t="s">
        <v>1122</v>
      </c>
      <c r="E135" s="33" t="s">
        <v>1123</v>
      </c>
      <c r="F135" s="33" t="s">
        <v>1604</v>
      </c>
      <c r="G135" s="33" t="s">
        <v>1605</v>
      </c>
      <c r="H135" s="33" t="s">
        <v>1124</v>
      </c>
      <c r="I135" s="33" t="s">
        <v>415</v>
      </c>
      <c r="J135" s="33" t="s">
        <v>1125</v>
      </c>
      <c r="K135" s="33" t="s">
        <v>1330</v>
      </c>
      <c r="L135" s="33"/>
      <c r="M135" s="33" t="s">
        <v>665</v>
      </c>
      <c r="N135" s="33" t="s">
        <v>6</v>
      </c>
      <c r="O135" s="33"/>
      <c r="P135" s="33"/>
      <c r="Q135" s="33"/>
      <c r="R135" s="33" t="s">
        <v>733</v>
      </c>
      <c r="S135" s="27"/>
      <c r="T135" s="27"/>
      <c r="U135" s="40"/>
      <c r="V135" s="27"/>
      <c r="W135" s="27"/>
      <c r="X135" s="27"/>
    </row>
    <row r="136" spans="1:24" s="54" customFormat="1" ht="15.75" x14ac:dyDescent="0.25">
      <c r="A136" s="26" t="s">
        <v>426</v>
      </c>
      <c r="B136" s="33" t="s">
        <v>1435</v>
      </c>
      <c r="C136" s="33" t="s">
        <v>1126</v>
      </c>
      <c r="D136" s="33" t="s">
        <v>1127</v>
      </c>
      <c r="E136" s="33" t="s">
        <v>1128</v>
      </c>
      <c r="F136" s="33" t="s">
        <v>1606</v>
      </c>
      <c r="G136" s="33" t="s">
        <v>1607</v>
      </c>
      <c r="H136" s="33" t="s">
        <v>1129</v>
      </c>
      <c r="I136" s="33" t="s">
        <v>415</v>
      </c>
      <c r="J136" s="33" t="s">
        <v>1130</v>
      </c>
      <c r="K136" s="33" t="s">
        <v>1331</v>
      </c>
      <c r="L136" s="33"/>
      <c r="M136" s="33" t="s">
        <v>665</v>
      </c>
      <c r="N136" s="33" t="s">
        <v>6</v>
      </c>
      <c r="O136" s="33"/>
      <c r="P136" s="33"/>
      <c r="Q136" s="33"/>
      <c r="R136" s="33" t="s">
        <v>733</v>
      </c>
      <c r="S136" s="27"/>
      <c r="T136" s="27"/>
      <c r="U136" s="40"/>
      <c r="V136" s="27"/>
      <c r="W136" s="27"/>
      <c r="X136" s="27"/>
    </row>
    <row r="137" spans="1:24" s="54" customFormat="1" ht="15.75" x14ac:dyDescent="0.25">
      <c r="A137" s="26" t="s">
        <v>426</v>
      </c>
      <c r="B137" s="33" t="s">
        <v>1435</v>
      </c>
      <c r="C137" s="33" t="s">
        <v>1131</v>
      </c>
      <c r="D137" s="33" t="s">
        <v>1132</v>
      </c>
      <c r="E137" s="33" t="s">
        <v>1133</v>
      </c>
      <c r="F137" s="33" t="s">
        <v>1608</v>
      </c>
      <c r="G137" s="33" t="s">
        <v>1609</v>
      </c>
      <c r="H137" s="33" t="s">
        <v>1134</v>
      </c>
      <c r="I137" s="33" t="s">
        <v>415</v>
      </c>
      <c r="J137" s="33" t="s">
        <v>1135</v>
      </c>
      <c r="K137" s="33" t="s">
        <v>1332</v>
      </c>
      <c r="L137" s="33"/>
      <c r="M137" s="33" t="s">
        <v>665</v>
      </c>
      <c r="N137" s="33" t="s">
        <v>6</v>
      </c>
      <c r="O137" s="33"/>
      <c r="P137" s="33"/>
      <c r="Q137" s="33"/>
      <c r="R137" s="33" t="s">
        <v>733</v>
      </c>
      <c r="S137" s="27"/>
      <c r="T137" s="27"/>
      <c r="U137" s="40"/>
      <c r="V137" s="27"/>
      <c r="W137" s="27"/>
      <c r="X137" s="27"/>
    </row>
    <row r="138" spans="1:24" s="54" customFormat="1" ht="15.75" x14ac:dyDescent="0.25">
      <c r="A138" s="26" t="s">
        <v>426</v>
      </c>
      <c r="B138" s="33" t="s">
        <v>1435</v>
      </c>
      <c r="C138" s="33" t="s">
        <v>1136</v>
      </c>
      <c r="D138" s="33" t="s">
        <v>1137</v>
      </c>
      <c r="E138" s="33" t="s">
        <v>1138</v>
      </c>
      <c r="F138" s="33" t="s">
        <v>1610</v>
      </c>
      <c r="G138" s="33" t="s">
        <v>1609</v>
      </c>
      <c r="H138" s="33" t="s">
        <v>1139</v>
      </c>
      <c r="I138" s="33" t="s">
        <v>415</v>
      </c>
      <c r="J138" s="33" t="s">
        <v>1140</v>
      </c>
      <c r="K138" s="33" t="s">
        <v>1333</v>
      </c>
      <c r="L138" s="33"/>
      <c r="M138" s="33" t="s">
        <v>665</v>
      </c>
      <c r="N138" s="33" t="s">
        <v>6</v>
      </c>
      <c r="O138" s="33"/>
      <c r="P138" s="33"/>
      <c r="Q138" s="33"/>
      <c r="R138" s="33" t="s">
        <v>733</v>
      </c>
      <c r="S138" s="27"/>
      <c r="T138" s="27"/>
      <c r="U138" s="40"/>
      <c r="V138" s="27"/>
      <c r="W138" s="27"/>
      <c r="X138" s="27"/>
    </row>
    <row r="139" spans="1:24" s="54" customFormat="1" ht="15.75" x14ac:dyDescent="0.25">
      <c r="A139" s="26" t="s">
        <v>426</v>
      </c>
      <c r="B139" s="33" t="s">
        <v>1435</v>
      </c>
      <c r="C139" s="33" t="s">
        <v>1141</v>
      </c>
      <c r="D139" s="33" t="s">
        <v>1142</v>
      </c>
      <c r="E139" s="33" t="s">
        <v>1143</v>
      </c>
      <c r="F139" s="33" t="s">
        <v>1611</v>
      </c>
      <c r="G139" s="33" t="s">
        <v>1612</v>
      </c>
      <c r="H139" s="33" t="s">
        <v>1144</v>
      </c>
      <c r="I139" s="33" t="s">
        <v>415</v>
      </c>
      <c r="J139" s="33" t="s">
        <v>1145</v>
      </c>
      <c r="K139" s="33" t="s">
        <v>1284</v>
      </c>
      <c r="L139" s="33"/>
      <c r="M139" s="33" t="s">
        <v>665</v>
      </c>
      <c r="N139" s="33" t="s">
        <v>6</v>
      </c>
      <c r="O139" s="33"/>
      <c r="P139" s="33"/>
      <c r="Q139" s="33"/>
      <c r="R139" s="33" t="s">
        <v>733</v>
      </c>
      <c r="S139" s="27"/>
      <c r="T139" s="27"/>
      <c r="U139" s="40"/>
      <c r="V139" s="27"/>
      <c r="W139" s="27"/>
      <c r="X139" s="27"/>
    </row>
    <row r="140" spans="1:24" s="54" customFormat="1" ht="15.75" x14ac:dyDescent="0.25">
      <c r="A140" s="26" t="s">
        <v>426</v>
      </c>
      <c r="B140" s="33" t="s">
        <v>1435</v>
      </c>
      <c r="C140" s="33" t="s">
        <v>1146</v>
      </c>
      <c r="D140" s="33" t="s">
        <v>1147</v>
      </c>
      <c r="E140" s="33" t="s">
        <v>1148</v>
      </c>
      <c r="F140" s="33" t="s">
        <v>1613</v>
      </c>
      <c r="G140" s="33" t="s">
        <v>1612</v>
      </c>
      <c r="H140" s="33" t="s">
        <v>1149</v>
      </c>
      <c r="I140" s="33" t="s">
        <v>415</v>
      </c>
      <c r="J140" s="33" t="s">
        <v>1150</v>
      </c>
      <c r="K140" s="33" t="s">
        <v>1284</v>
      </c>
      <c r="L140" s="33"/>
      <c r="M140" s="33" t="s">
        <v>665</v>
      </c>
      <c r="N140" s="33" t="s">
        <v>6</v>
      </c>
      <c r="O140" s="33"/>
      <c r="P140" s="33"/>
      <c r="Q140" s="33"/>
      <c r="R140" s="33" t="s">
        <v>733</v>
      </c>
      <c r="S140" s="27"/>
      <c r="T140" s="27"/>
      <c r="U140" s="40"/>
      <c r="V140" s="27"/>
      <c r="W140" s="27"/>
      <c r="X140" s="27"/>
    </row>
    <row r="141" spans="1:24" s="54" customFormat="1" ht="15.75" x14ac:dyDescent="0.25">
      <c r="A141" s="26" t="s">
        <v>426</v>
      </c>
      <c r="B141" s="33" t="s">
        <v>1435</v>
      </c>
      <c r="C141" s="33" t="s">
        <v>1151</v>
      </c>
      <c r="D141" s="33" t="s">
        <v>1152</v>
      </c>
      <c r="E141" s="33" t="s">
        <v>1153</v>
      </c>
      <c r="F141" s="33" t="s">
        <v>1614</v>
      </c>
      <c r="G141" s="33" t="s">
        <v>1154</v>
      </c>
      <c r="H141" s="33" t="s">
        <v>1155</v>
      </c>
      <c r="I141" s="33" t="s">
        <v>415</v>
      </c>
      <c r="J141" s="33" t="s">
        <v>1156</v>
      </c>
      <c r="K141" s="33" t="s">
        <v>1334</v>
      </c>
      <c r="L141" s="33"/>
      <c r="M141" s="33" t="s">
        <v>665</v>
      </c>
      <c r="N141" s="33" t="s">
        <v>6</v>
      </c>
      <c r="O141" s="33"/>
      <c r="P141" s="33"/>
      <c r="Q141" s="33"/>
      <c r="R141" s="33" t="s">
        <v>733</v>
      </c>
      <c r="S141" s="27"/>
      <c r="T141" s="27"/>
      <c r="U141" s="40"/>
      <c r="V141" s="27"/>
      <c r="W141" s="27"/>
      <c r="X141" s="27"/>
    </row>
    <row r="142" spans="1:24" ht="17.850000000000001" customHeight="1" x14ac:dyDescent="0.25">
      <c r="A142" s="26" t="s">
        <v>426</v>
      </c>
      <c r="B142" s="34" t="s">
        <v>1455</v>
      </c>
      <c r="C142" s="34" t="s">
        <v>737</v>
      </c>
      <c r="D142" s="34" t="s">
        <v>738</v>
      </c>
      <c r="E142" s="34" t="s">
        <v>1286</v>
      </c>
      <c r="F142" s="34" t="s">
        <v>1615</v>
      </c>
      <c r="G142" s="34" t="s">
        <v>739</v>
      </c>
      <c r="H142" s="34" t="s">
        <v>740</v>
      </c>
      <c r="I142" s="34" t="s">
        <v>415</v>
      </c>
      <c r="J142" s="34" t="s">
        <v>741</v>
      </c>
      <c r="K142" s="34"/>
      <c r="L142" s="34"/>
      <c r="M142" s="34" t="s">
        <v>82</v>
      </c>
      <c r="N142" s="34" t="s">
        <v>6</v>
      </c>
      <c r="O142" s="34"/>
      <c r="P142" s="34"/>
      <c r="Q142" s="34"/>
      <c r="R142" s="34" t="s">
        <v>733</v>
      </c>
    </row>
    <row r="143" spans="1:24" ht="17.850000000000001" customHeight="1" x14ac:dyDescent="0.25">
      <c r="A143" s="26" t="s">
        <v>426</v>
      </c>
      <c r="B143" s="34" t="s">
        <v>1455</v>
      </c>
      <c r="C143" s="34" t="s">
        <v>742</v>
      </c>
      <c r="D143" s="34" t="s">
        <v>743</v>
      </c>
      <c r="E143" s="34" t="s">
        <v>1287</v>
      </c>
      <c r="F143" s="34" t="s">
        <v>1616</v>
      </c>
      <c r="G143" s="34" t="s">
        <v>1615</v>
      </c>
      <c r="H143" s="34" t="s">
        <v>744</v>
      </c>
      <c r="I143" s="34" t="s">
        <v>415</v>
      </c>
      <c r="J143" s="34" t="s">
        <v>745</v>
      </c>
      <c r="K143" s="34"/>
      <c r="L143" s="34"/>
      <c r="M143" s="34" t="s">
        <v>82</v>
      </c>
      <c r="N143" s="34" t="s">
        <v>6</v>
      </c>
      <c r="O143" s="34"/>
      <c r="P143" s="34"/>
      <c r="Q143" s="34"/>
      <c r="R143" s="34" t="s">
        <v>733</v>
      </c>
    </row>
    <row r="144" spans="1:24" ht="17.850000000000001" customHeight="1" x14ac:dyDescent="0.25">
      <c r="A144" s="26" t="s">
        <v>426</v>
      </c>
      <c r="B144" s="34" t="s">
        <v>1455</v>
      </c>
      <c r="C144" s="34" t="s">
        <v>746</v>
      </c>
      <c r="D144" s="34" t="s">
        <v>747</v>
      </c>
      <c r="E144" s="34" t="s">
        <v>1289</v>
      </c>
      <c r="F144" s="34" t="s">
        <v>1617</v>
      </c>
      <c r="G144" s="34" t="s">
        <v>748</v>
      </c>
      <c r="H144" s="34" t="s">
        <v>749</v>
      </c>
      <c r="I144" s="34" t="s">
        <v>415</v>
      </c>
      <c r="J144" s="34" t="s">
        <v>750</v>
      </c>
      <c r="K144" s="34" t="s">
        <v>751</v>
      </c>
      <c r="L144" s="34"/>
      <c r="M144" s="34" t="s">
        <v>82</v>
      </c>
      <c r="N144" s="34" t="s">
        <v>6</v>
      </c>
      <c r="O144" s="34"/>
      <c r="P144" s="34"/>
      <c r="Q144" s="34"/>
      <c r="R144" s="34" t="s">
        <v>733</v>
      </c>
    </row>
    <row r="145" spans="1:24" ht="17.850000000000001" customHeight="1" x14ac:dyDescent="0.25">
      <c r="A145" s="26" t="s">
        <v>426</v>
      </c>
      <c r="B145" s="34" t="s">
        <v>1455</v>
      </c>
      <c r="C145" s="34" t="s">
        <v>752</v>
      </c>
      <c r="D145" s="34" t="s">
        <v>1004</v>
      </c>
      <c r="E145" s="34" t="s">
        <v>1290</v>
      </c>
      <c r="F145" s="34" t="s">
        <v>1617</v>
      </c>
      <c r="G145" s="34" t="s">
        <v>1618</v>
      </c>
      <c r="H145" s="34" t="s">
        <v>753</v>
      </c>
      <c r="I145" s="34" t="s">
        <v>415</v>
      </c>
      <c r="J145" s="34" t="s">
        <v>754</v>
      </c>
      <c r="K145" s="34" t="s">
        <v>751</v>
      </c>
      <c r="L145" s="34"/>
      <c r="M145" s="34" t="s">
        <v>82</v>
      </c>
      <c r="N145" s="34" t="s">
        <v>6</v>
      </c>
      <c r="O145" s="34"/>
      <c r="P145" s="34"/>
      <c r="Q145" s="34"/>
      <c r="R145" s="34" t="s">
        <v>733</v>
      </c>
    </row>
    <row r="146" spans="1:24" ht="17.850000000000001" customHeight="1" x14ac:dyDescent="0.25">
      <c r="A146" s="26" t="s">
        <v>426</v>
      </c>
      <c r="B146" s="34" t="s">
        <v>1455</v>
      </c>
      <c r="C146" s="34" t="s">
        <v>755</v>
      </c>
      <c r="D146" s="34" t="s">
        <v>1005</v>
      </c>
      <c r="E146" s="34" t="s">
        <v>1290</v>
      </c>
      <c r="F146" s="34" t="s">
        <v>1617</v>
      </c>
      <c r="G146" s="34" t="s">
        <v>1619</v>
      </c>
      <c r="H146" s="34" t="s">
        <v>753</v>
      </c>
      <c r="I146" s="34" t="s">
        <v>415</v>
      </c>
      <c r="J146" s="34" t="s">
        <v>756</v>
      </c>
      <c r="K146" s="34" t="s">
        <v>751</v>
      </c>
      <c r="L146" s="34"/>
      <c r="M146" s="34" t="s">
        <v>82</v>
      </c>
      <c r="N146" s="34" t="s">
        <v>6</v>
      </c>
      <c r="O146" s="34"/>
      <c r="P146" s="34"/>
      <c r="Q146" s="34"/>
      <c r="R146" s="34" t="s">
        <v>733</v>
      </c>
    </row>
    <row r="147" spans="1:24" ht="17.850000000000001" customHeight="1" x14ac:dyDescent="0.25">
      <c r="A147" s="26" t="s">
        <v>426</v>
      </c>
      <c r="B147" s="34" t="s">
        <v>1455</v>
      </c>
      <c r="C147" s="34" t="s">
        <v>757</v>
      </c>
      <c r="D147" s="34" t="s">
        <v>1003</v>
      </c>
      <c r="E147" s="34" t="s">
        <v>1288</v>
      </c>
      <c r="F147" s="34" t="s">
        <v>1620</v>
      </c>
      <c r="G147" s="34" t="s">
        <v>1621</v>
      </c>
      <c r="H147" s="34" t="s">
        <v>758</v>
      </c>
      <c r="I147" s="34" t="s">
        <v>415</v>
      </c>
      <c r="J147" s="34" t="s">
        <v>759</v>
      </c>
      <c r="K147" s="34"/>
      <c r="L147" s="34"/>
      <c r="M147" s="34" t="s">
        <v>82</v>
      </c>
      <c r="N147" s="34" t="s">
        <v>6</v>
      </c>
      <c r="O147" s="34"/>
      <c r="P147" s="34"/>
      <c r="Q147" s="34"/>
      <c r="R147" s="34" t="s">
        <v>733</v>
      </c>
    </row>
    <row r="148" spans="1:24" ht="17.850000000000001" customHeight="1" x14ac:dyDescent="0.25">
      <c r="A148" s="26" t="s">
        <v>426</v>
      </c>
      <c r="B148" s="34" t="s">
        <v>1455</v>
      </c>
      <c r="C148" s="34" t="s">
        <v>760</v>
      </c>
      <c r="D148" s="34" t="s">
        <v>1003</v>
      </c>
      <c r="E148" s="34" t="s">
        <v>1288</v>
      </c>
      <c r="F148" s="34" t="s">
        <v>1620</v>
      </c>
      <c r="G148" s="34" t="s">
        <v>1615</v>
      </c>
      <c r="H148" s="34" t="s">
        <v>761</v>
      </c>
      <c r="I148" s="34" t="s">
        <v>415</v>
      </c>
      <c r="J148" s="34" t="s">
        <v>762</v>
      </c>
      <c r="K148" s="34"/>
      <c r="L148" s="34"/>
      <c r="M148" s="34" t="s">
        <v>82</v>
      </c>
      <c r="N148" s="34" t="s">
        <v>6</v>
      </c>
      <c r="O148" s="34"/>
      <c r="P148" s="34"/>
      <c r="Q148" s="34"/>
      <c r="R148" s="34" t="s">
        <v>733</v>
      </c>
    </row>
    <row r="149" spans="1:24" ht="17.850000000000001" customHeight="1" x14ac:dyDescent="0.25">
      <c r="A149" s="26" t="s">
        <v>426</v>
      </c>
      <c r="B149" s="34" t="s">
        <v>1455</v>
      </c>
      <c r="C149" s="34" t="s">
        <v>763</v>
      </c>
      <c r="D149" s="34" t="s">
        <v>764</v>
      </c>
      <c r="E149" s="34" t="s">
        <v>1291</v>
      </c>
      <c r="F149" s="34" t="s">
        <v>1622</v>
      </c>
      <c r="G149" s="34" t="s">
        <v>1623</v>
      </c>
      <c r="H149" s="34" t="s">
        <v>765</v>
      </c>
      <c r="I149" s="34" t="s">
        <v>415</v>
      </c>
      <c r="J149" s="34" t="s">
        <v>963</v>
      </c>
      <c r="K149" s="34"/>
      <c r="L149" s="34"/>
      <c r="M149" s="34" t="s">
        <v>82</v>
      </c>
      <c r="N149" s="34" t="s">
        <v>6</v>
      </c>
      <c r="O149" s="34"/>
      <c r="P149" s="34"/>
      <c r="Q149" s="34"/>
      <c r="R149" s="34" t="s">
        <v>733</v>
      </c>
    </row>
    <row r="150" spans="1:24" ht="17.850000000000001" customHeight="1" x14ac:dyDescent="0.25">
      <c r="A150" s="26" t="s">
        <v>426</v>
      </c>
      <c r="B150" s="34" t="s">
        <v>1455</v>
      </c>
      <c r="C150" s="34" t="s">
        <v>766</v>
      </c>
      <c r="D150" s="34" t="s">
        <v>767</v>
      </c>
      <c r="E150" s="34" t="s">
        <v>1292</v>
      </c>
      <c r="F150" s="34" t="s">
        <v>1624</v>
      </c>
      <c r="G150" s="34" t="s">
        <v>1623</v>
      </c>
      <c r="H150" s="34" t="s">
        <v>768</v>
      </c>
      <c r="I150" s="34" t="s">
        <v>415</v>
      </c>
      <c r="J150" s="34" t="s">
        <v>964</v>
      </c>
      <c r="K150" s="34"/>
      <c r="L150" s="34"/>
      <c r="M150" s="34" t="s">
        <v>82</v>
      </c>
      <c r="N150" s="34" t="s">
        <v>6</v>
      </c>
      <c r="O150" s="34"/>
      <c r="P150" s="34"/>
      <c r="Q150" s="34"/>
      <c r="R150" s="34" t="s">
        <v>733</v>
      </c>
    </row>
    <row r="151" spans="1:24" ht="17.850000000000001" customHeight="1" x14ac:dyDescent="0.25">
      <c r="A151" s="26" t="s">
        <v>426</v>
      </c>
      <c r="B151" s="34" t="s">
        <v>1455</v>
      </c>
      <c r="C151" s="34" t="s">
        <v>976</v>
      </c>
      <c r="D151" s="34" t="s">
        <v>1006</v>
      </c>
      <c r="E151" s="34" t="s">
        <v>1293</v>
      </c>
      <c r="F151" s="34" t="s">
        <v>977</v>
      </c>
      <c r="G151" s="34" t="s">
        <v>1625</v>
      </c>
      <c r="H151" s="34" t="s">
        <v>1478</v>
      </c>
      <c r="I151" s="34" t="s">
        <v>420</v>
      </c>
      <c r="J151" s="34" t="s">
        <v>1007</v>
      </c>
      <c r="K151" s="34"/>
      <c r="L151" s="34"/>
      <c r="M151" s="34" t="s">
        <v>82</v>
      </c>
      <c r="N151" s="34" t="s">
        <v>6</v>
      </c>
      <c r="O151" s="34"/>
      <c r="P151" s="34"/>
      <c r="Q151" s="34"/>
      <c r="R151" s="34" t="s">
        <v>733</v>
      </c>
    </row>
    <row r="152" spans="1:24" s="54" customFormat="1" ht="15.75" x14ac:dyDescent="0.25">
      <c r="A152" s="26" t="s">
        <v>426</v>
      </c>
      <c r="B152" s="51" t="s">
        <v>1436</v>
      </c>
      <c r="C152" s="51" t="s">
        <v>1157</v>
      </c>
      <c r="D152" s="51" t="s">
        <v>1158</v>
      </c>
      <c r="E152" s="51" t="s">
        <v>1294</v>
      </c>
      <c r="F152" s="51" t="s">
        <v>1626</v>
      </c>
      <c r="G152" s="51" t="s">
        <v>82</v>
      </c>
      <c r="H152" s="51" t="s">
        <v>1159</v>
      </c>
      <c r="I152" s="51" t="s">
        <v>415</v>
      </c>
      <c r="J152" s="51" t="s">
        <v>1160</v>
      </c>
      <c r="K152" s="51" t="s">
        <v>1274</v>
      </c>
      <c r="L152" s="51"/>
      <c r="M152" s="51" t="s">
        <v>82</v>
      </c>
      <c r="N152" s="51" t="s">
        <v>6</v>
      </c>
      <c r="O152" s="51"/>
      <c r="P152" s="51"/>
      <c r="Q152" s="51"/>
      <c r="R152" s="51" t="s">
        <v>733</v>
      </c>
    </row>
    <row r="153" spans="1:24" s="54" customFormat="1" ht="15.75" x14ac:dyDescent="0.25">
      <c r="A153" s="26" t="s">
        <v>426</v>
      </c>
      <c r="B153" s="51" t="s">
        <v>1436</v>
      </c>
      <c r="C153" s="51" t="s">
        <v>1161</v>
      </c>
      <c r="D153" s="51" t="s">
        <v>1162</v>
      </c>
      <c r="E153" s="51" t="s">
        <v>1295</v>
      </c>
      <c r="F153" s="51" t="s">
        <v>1627</v>
      </c>
      <c r="G153" s="51" t="s">
        <v>1163</v>
      </c>
      <c r="H153" s="51" t="s">
        <v>774</v>
      </c>
      <c r="I153" s="51" t="s">
        <v>415</v>
      </c>
      <c r="J153" s="51" t="s">
        <v>1164</v>
      </c>
      <c r="K153" s="51" t="s">
        <v>1273</v>
      </c>
      <c r="L153" s="51"/>
      <c r="M153" s="51" t="s">
        <v>82</v>
      </c>
      <c r="N153" s="51" t="s">
        <v>6</v>
      </c>
      <c r="O153" s="51"/>
      <c r="P153" s="51"/>
      <c r="Q153" s="51"/>
      <c r="R153" s="51" t="s">
        <v>733</v>
      </c>
      <c r="S153" s="63" t="s">
        <v>1436</v>
      </c>
      <c r="T153" s="63" t="s">
        <v>1441</v>
      </c>
      <c r="U153" s="64">
        <v>1</v>
      </c>
      <c r="V153" s="63" t="s">
        <v>1438</v>
      </c>
      <c r="W153" s="63" t="s">
        <v>1439</v>
      </c>
      <c r="X153" s="63" t="s">
        <v>1440</v>
      </c>
    </row>
    <row r="154" spans="1:24" s="54" customFormat="1" ht="15.75" x14ac:dyDescent="0.25">
      <c r="A154" s="26" t="s">
        <v>426</v>
      </c>
      <c r="B154" s="51" t="s">
        <v>1436</v>
      </c>
      <c r="C154" s="51" t="s">
        <v>1165</v>
      </c>
      <c r="D154" s="51" t="s">
        <v>1162</v>
      </c>
      <c r="E154" s="51" t="s">
        <v>1295</v>
      </c>
      <c r="F154" s="51" t="s">
        <v>1701</v>
      </c>
      <c r="G154" s="51" t="s">
        <v>1163</v>
      </c>
      <c r="H154" s="51" t="s">
        <v>774</v>
      </c>
      <c r="I154" s="51" t="s">
        <v>415</v>
      </c>
      <c r="J154" s="51" t="s">
        <v>1166</v>
      </c>
      <c r="K154" s="51"/>
      <c r="L154" s="51"/>
      <c r="M154" s="51" t="s">
        <v>82</v>
      </c>
      <c r="N154" s="51" t="s">
        <v>6</v>
      </c>
      <c r="O154" s="51"/>
      <c r="P154" s="51"/>
      <c r="Q154" s="51"/>
      <c r="R154" s="51" t="s">
        <v>733</v>
      </c>
      <c r="S154" s="63" t="s">
        <v>1436</v>
      </c>
      <c r="T154" s="63" t="s">
        <v>1441</v>
      </c>
      <c r="U154" s="64">
        <v>2</v>
      </c>
      <c r="V154" s="63" t="s">
        <v>1438</v>
      </c>
      <c r="W154" s="63" t="s">
        <v>1439</v>
      </c>
      <c r="X154" s="63" t="s">
        <v>1440</v>
      </c>
    </row>
    <row r="155" spans="1:24" s="54" customFormat="1" ht="15.75" x14ac:dyDescent="0.25">
      <c r="A155" s="26" t="s">
        <v>426</v>
      </c>
      <c r="B155" s="51" t="s">
        <v>1436</v>
      </c>
      <c r="C155" s="51" t="s">
        <v>1167</v>
      </c>
      <c r="D155" s="51" t="s">
        <v>1168</v>
      </c>
      <c r="E155" s="51" t="s">
        <v>1296</v>
      </c>
      <c r="F155" s="51" t="s">
        <v>1628</v>
      </c>
      <c r="G155" s="51" t="s">
        <v>1701</v>
      </c>
      <c r="H155" s="51" t="s">
        <v>1169</v>
      </c>
      <c r="I155" s="51" t="s">
        <v>415</v>
      </c>
      <c r="J155" s="51" t="s">
        <v>1170</v>
      </c>
      <c r="K155" s="51"/>
      <c r="L155" s="51"/>
      <c r="M155" s="51" t="s">
        <v>82</v>
      </c>
      <c r="N155" s="51" t="s">
        <v>6</v>
      </c>
      <c r="O155" s="51"/>
      <c r="P155" s="51"/>
      <c r="Q155" s="51"/>
      <c r="R155" s="51" t="s">
        <v>733</v>
      </c>
      <c r="S155" s="63" t="s">
        <v>1436</v>
      </c>
      <c r="T155" s="63" t="s">
        <v>1441</v>
      </c>
      <c r="U155" s="64">
        <v>3</v>
      </c>
      <c r="V155" s="63" t="s">
        <v>1438</v>
      </c>
      <c r="W155" s="63" t="s">
        <v>1439</v>
      </c>
      <c r="X155" s="63" t="s">
        <v>1440</v>
      </c>
    </row>
    <row r="156" spans="1:24" s="54" customFormat="1" ht="15.75" x14ac:dyDescent="0.25">
      <c r="A156" s="26" t="s">
        <v>426</v>
      </c>
      <c r="B156" s="51" t="s">
        <v>1436</v>
      </c>
      <c r="C156" s="51" t="s">
        <v>1171</v>
      </c>
      <c r="D156" s="51" t="s">
        <v>1172</v>
      </c>
      <c r="E156" s="51" t="s">
        <v>1297</v>
      </c>
      <c r="F156" s="51" t="s">
        <v>1629</v>
      </c>
      <c r="G156" s="51" t="s">
        <v>1173</v>
      </c>
      <c r="H156" s="51" t="s">
        <v>775</v>
      </c>
      <c r="I156" s="51" t="s">
        <v>415</v>
      </c>
      <c r="J156" s="51" t="s">
        <v>1174</v>
      </c>
      <c r="K156" s="51" t="s">
        <v>1272</v>
      </c>
      <c r="L156" s="51"/>
      <c r="M156" s="51" t="s">
        <v>82</v>
      </c>
      <c r="N156" s="51" t="s">
        <v>6</v>
      </c>
      <c r="O156" s="51"/>
      <c r="P156" s="51"/>
      <c r="Q156" s="51"/>
      <c r="R156" s="51" t="s">
        <v>733</v>
      </c>
      <c r="S156" s="52"/>
      <c r="T156" s="52"/>
      <c r="U156" s="53"/>
      <c r="V156" s="52"/>
      <c r="W156" s="52"/>
      <c r="X156" s="52"/>
    </row>
    <row r="157" spans="1:24" s="54" customFormat="1" ht="15.75" x14ac:dyDescent="0.25">
      <c r="A157" s="26" t="s">
        <v>426</v>
      </c>
      <c r="B157" s="51" t="s">
        <v>1436</v>
      </c>
      <c r="C157" s="51" t="s">
        <v>1175</v>
      </c>
      <c r="D157" s="51" t="s">
        <v>1176</v>
      </c>
      <c r="E157" s="51" t="s">
        <v>1298</v>
      </c>
      <c r="F157" s="51" t="s">
        <v>1630</v>
      </c>
      <c r="G157" s="51" t="s">
        <v>1177</v>
      </c>
      <c r="H157" s="51" t="s">
        <v>1178</v>
      </c>
      <c r="I157" s="51" t="s">
        <v>415</v>
      </c>
      <c r="J157" s="51" t="s">
        <v>1179</v>
      </c>
      <c r="K157" s="51" t="s">
        <v>1275</v>
      </c>
      <c r="L157" s="51"/>
      <c r="M157" s="51" t="s">
        <v>82</v>
      </c>
      <c r="N157" s="51" t="s">
        <v>6</v>
      </c>
      <c r="O157" s="51"/>
      <c r="P157" s="51"/>
      <c r="Q157" s="51"/>
      <c r="R157" s="51" t="s">
        <v>733</v>
      </c>
      <c r="S157" s="52"/>
      <c r="T157" s="52"/>
      <c r="U157" s="53"/>
      <c r="V157" s="52"/>
      <c r="W157" s="52"/>
      <c r="X157" s="52"/>
    </row>
    <row r="158" spans="1:24" s="54" customFormat="1" ht="15.75" x14ac:dyDescent="0.25">
      <c r="A158" s="26" t="s">
        <v>426</v>
      </c>
      <c r="B158" s="51" t="s">
        <v>1436</v>
      </c>
      <c r="C158" s="51" t="s">
        <v>1303</v>
      </c>
      <c r="D158" s="51" t="s">
        <v>1180</v>
      </c>
      <c r="E158" s="51" t="s">
        <v>1299</v>
      </c>
      <c r="F158" s="51" t="s">
        <v>1631</v>
      </c>
      <c r="G158" s="51" t="s">
        <v>1181</v>
      </c>
      <c r="H158" s="51" t="s">
        <v>1182</v>
      </c>
      <c r="I158" s="51" t="s">
        <v>415</v>
      </c>
      <c r="J158" s="51" t="s">
        <v>1183</v>
      </c>
      <c r="K158" s="51" t="s">
        <v>1184</v>
      </c>
      <c r="L158" s="51"/>
      <c r="M158" s="51" t="s">
        <v>82</v>
      </c>
      <c r="N158" s="51" t="s">
        <v>6</v>
      </c>
      <c r="O158" s="51"/>
      <c r="P158" s="51"/>
      <c r="Q158" s="51"/>
      <c r="R158" s="51" t="s">
        <v>733</v>
      </c>
      <c r="S158" s="52"/>
      <c r="T158" s="52"/>
      <c r="U158" s="53"/>
      <c r="V158" s="52"/>
      <c r="W158" s="52"/>
      <c r="X158" s="52"/>
    </row>
    <row r="159" spans="1:24" s="54" customFormat="1" ht="15.75" x14ac:dyDescent="0.25">
      <c r="A159" s="26" t="s">
        <v>426</v>
      </c>
      <c r="B159" s="51" t="s">
        <v>1436</v>
      </c>
      <c r="C159" s="51" t="s">
        <v>1304</v>
      </c>
      <c r="D159" s="51" t="s">
        <v>1185</v>
      </c>
      <c r="E159" s="51" t="s">
        <v>1300</v>
      </c>
      <c r="F159" s="51" t="s">
        <v>1632</v>
      </c>
      <c r="G159" s="51" t="s">
        <v>1181</v>
      </c>
      <c r="H159" s="51" t="s">
        <v>1186</v>
      </c>
      <c r="I159" s="51" t="s">
        <v>415</v>
      </c>
      <c r="J159" s="51" t="s">
        <v>1187</v>
      </c>
      <c r="K159" s="51"/>
      <c r="L159" s="51"/>
      <c r="M159" s="51" t="s">
        <v>82</v>
      </c>
      <c r="N159" s="51" t="s">
        <v>6</v>
      </c>
      <c r="O159" s="51"/>
      <c r="P159" s="51"/>
      <c r="Q159" s="51"/>
      <c r="R159" s="51" t="s">
        <v>733</v>
      </c>
      <c r="S159" s="52"/>
      <c r="T159" s="52"/>
      <c r="U159" s="53"/>
      <c r="V159" s="52"/>
      <c r="W159" s="52"/>
      <c r="X159" s="52"/>
    </row>
    <row r="160" spans="1:24" s="54" customFormat="1" ht="15.75" x14ac:dyDescent="0.25">
      <c r="A160" s="26" t="s">
        <v>426</v>
      </c>
      <c r="B160" s="51" t="s">
        <v>1436</v>
      </c>
      <c r="C160" s="51" t="s">
        <v>1305</v>
      </c>
      <c r="D160" s="51" t="s">
        <v>1188</v>
      </c>
      <c r="E160" s="51" t="s">
        <v>1301</v>
      </c>
      <c r="F160" s="51" t="s">
        <v>1633</v>
      </c>
      <c r="G160" s="51" t="s">
        <v>1181</v>
      </c>
      <c r="H160" s="51" t="s">
        <v>1189</v>
      </c>
      <c r="I160" s="51" t="s">
        <v>415</v>
      </c>
      <c r="J160" s="51" t="s">
        <v>1190</v>
      </c>
      <c r="K160" s="51"/>
      <c r="L160" s="51"/>
      <c r="M160" s="51" t="s">
        <v>82</v>
      </c>
      <c r="N160" s="51" t="s">
        <v>6</v>
      </c>
      <c r="O160" s="51"/>
      <c r="P160" s="51"/>
      <c r="Q160" s="51"/>
      <c r="R160" s="51" t="s">
        <v>733</v>
      </c>
      <c r="S160" s="52"/>
      <c r="T160" s="52"/>
      <c r="U160" s="53"/>
      <c r="V160" s="52"/>
      <c r="W160" s="52"/>
      <c r="X160" s="52"/>
    </row>
    <row r="161" spans="1:24" s="54" customFormat="1" ht="15.75" x14ac:dyDescent="0.25">
      <c r="A161" s="26" t="s">
        <v>426</v>
      </c>
      <c r="B161" s="51" t="s">
        <v>1436</v>
      </c>
      <c r="C161" s="51" t="s">
        <v>1306</v>
      </c>
      <c r="D161" s="51" t="s">
        <v>1191</v>
      </c>
      <c r="E161" s="51" t="s">
        <v>1302</v>
      </c>
      <c r="F161" s="51" t="s">
        <v>1634</v>
      </c>
      <c r="G161" s="51" t="s">
        <v>1181</v>
      </c>
      <c r="H161" s="51" t="s">
        <v>1192</v>
      </c>
      <c r="I161" s="51" t="s">
        <v>415</v>
      </c>
      <c r="J161" s="51" t="s">
        <v>1193</v>
      </c>
      <c r="K161" s="51"/>
      <c r="L161" s="51"/>
      <c r="M161" s="51" t="s">
        <v>82</v>
      </c>
      <c r="N161" s="51" t="s">
        <v>6</v>
      </c>
      <c r="O161" s="51"/>
      <c r="P161" s="51"/>
      <c r="Q161" s="51"/>
      <c r="R161" s="51" t="s">
        <v>733</v>
      </c>
      <c r="S161" s="52"/>
      <c r="T161" s="52"/>
      <c r="U161" s="53"/>
      <c r="V161" s="52"/>
      <c r="W161" s="52"/>
      <c r="X161" s="52"/>
    </row>
    <row r="162" spans="1:24" ht="17.850000000000001" customHeight="1" x14ac:dyDescent="0.25">
      <c r="A162" s="26" t="s">
        <v>426</v>
      </c>
      <c r="B162" s="57" t="s">
        <v>1456</v>
      </c>
      <c r="C162" s="57" t="s">
        <v>690</v>
      </c>
      <c r="D162" s="57" t="s">
        <v>723</v>
      </c>
      <c r="E162" s="57" t="s">
        <v>1326</v>
      </c>
      <c r="F162" s="57" t="s">
        <v>1635</v>
      </c>
      <c r="G162" s="57" t="s">
        <v>1636</v>
      </c>
      <c r="H162" s="57" t="s">
        <v>623</v>
      </c>
      <c r="I162" s="57" t="s">
        <v>415</v>
      </c>
      <c r="J162" s="57" t="s">
        <v>691</v>
      </c>
      <c r="K162" s="57"/>
      <c r="L162" s="57"/>
      <c r="M162" s="57" t="s">
        <v>82</v>
      </c>
      <c r="N162" s="57" t="s">
        <v>6</v>
      </c>
      <c r="O162" s="57"/>
      <c r="P162" s="57"/>
      <c r="Q162" s="57"/>
      <c r="R162" s="57" t="s">
        <v>733</v>
      </c>
    </row>
    <row r="163" spans="1:24" ht="17.850000000000001" customHeight="1" x14ac:dyDescent="0.25">
      <c r="A163" s="26" t="s">
        <v>426</v>
      </c>
      <c r="B163" s="57" t="s">
        <v>1456</v>
      </c>
      <c r="C163" s="57" t="s">
        <v>692</v>
      </c>
      <c r="D163" s="57" t="s">
        <v>965</v>
      </c>
      <c r="E163" s="57" t="s">
        <v>1307</v>
      </c>
      <c r="F163" s="57" t="s">
        <v>1637</v>
      </c>
      <c r="G163" s="57" t="s">
        <v>1724</v>
      </c>
      <c r="H163" s="57" t="s">
        <v>693</v>
      </c>
      <c r="I163" s="57" t="s">
        <v>415</v>
      </c>
      <c r="J163" s="57" t="s">
        <v>696</v>
      </c>
      <c r="K163" s="57" t="s">
        <v>966</v>
      </c>
      <c r="L163" s="57"/>
      <c r="M163" s="57" t="s">
        <v>82</v>
      </c>
      <c r="N163" s="57" t="s">
        <v>6</v>
      </c>
      <c r="O163" s="57"/>
      <c r="P163" s="57"/>
      <c r="Q163" s="57"/>
      <c r="R163" s="57" t="s">
        <v>733</v>
      </c>
    </row>
    <row r="164" spans="1:24" ht="17.850000000000001" customHeight="1" x14ac:dyDescent="0.25">
      <c r="A164" s="26" t="s">
        <v>426</v>
      </c>
      <c r="B164" s="57" t="s">
        <v>1456</v>
      </c>
      <c r="C164" s="57" t="s">
        <v>856</v>
      </c>
      <c r="D164" s="57" t="s">
        <v>965</v>
      </c>
      <c r="E164" s="57" t="s">
        <v>1307</v>
      </c>
      <c r="F164" s="57" t="s">
        <v>1638</v>
      </c>
      <c r="G164" s="57" t="s">
        <v>1725</v>
      </c>
      <c r="H164" s="57" t="s">
        <v>693</v>
      </c>
      <c r="I164" s="57" t="s">
        <v>415</v>
      </c>
      <c r="J164" s="57" t="s">
        <v>696</v>
      </c>
      <c r="K164" s="57" t="s">
        <v>967</v>
      </c>
      <c r="L164" s="57"/>
      <c r="M164" s="57" t="s">
        <v>82</v>
      </c>
      <c r="N164" s="57" t="s">
        <v>6</v>
      </c>
      <c r="O164" s="57"/>
      <c r="P164" s="57"/>
      <c r="Q164" s="57"/>
      <c r="R164" s="57" t="s">
        <v>733</v>
      </c>
    </row>
    <row r="165" spans="1:24" ht="17.850000000000001" customHeight="1" x14ac:dyDescent="0.25">
      <c r="A165" s="26" t="s">
        <v>426</v>
      </c>
      <c r="B165" s="57" t="s">
        <v>1456</v>
      </c>
      <c r="C165" s="57" t="s">
        <v>694</v>
      </c>
      <c r="D165" s="57" t="s">
        <v>968</v>
      </c>
      <c r="E165" s="57" t="s">
        <v>1308</v>
      </c>
      <c r="F165" s="57" t="s">
        <v>1639</v>
      </c>
      <c r="G165" s="57" t="s">
        <v>1726</v>
      </c>
      <c r="H165" s="57" t="s">
        <v>695</v>
      </c>
      <c r="I165" s="57" t="s">
        <v>415</v>
      </c>
      <c r="J165" s="57" t="s">
        <v>1009</v>
      </c>
      <c r="K165" s="57" t="s">
        <v>969</v>
      </c>
      <c r="L165" s="57"/>
      <c r="M165" s="57" t="s">
        <v>82</v>
      </c>
      <c r="N165" s="57" t="s">
        <v>6</v>
      </c>
      <c r="O165" s="57"/>
      <c r="P165" s="57"/>
      <c r="Q165" s="57"/>
      <c r="R165" s="57" t="s">
        <v>733</v>
      </c>
    </row>
    <row r="166" spans="1:24" ht="17.850000000000001" customHeight="1" x14ac:dyDescent="0.25">
      <c r="A166" s="26" t="s">
        <v>426</v>
      </c>
      <c r="B166" s="57" t="s">
        <v>1456</v>
      </c>
      <c r="C166" s="57" t="s">
        <v>857</v>
      </c>
      <c r="D166" s="57" t="s">
        <v>968</v>
      </c>
      <c r="E166" s="57" t="s">
        <v>1308</v>
      </c>
      <c r="F166" s="57" t="s">
        <v>1640</v>
      </c>
      <c r="G166" s="57" t="s">
        <v>1727</v>
      </c>
      <c r="H166" s="57" t="s">
        <v>695</v>
      </c>
      <c r="I166" s="57" t="s">
        <v>415</v>
      </c>
      <c r="J166" s="57" t="s">
        <v>1009</v>
      </c>
      <c r="K166" s="57" t="s">
        <v>1008</v>
      </c>
      <c r="L166" s="57"/>
      <c r="M166" s="57" t="s">
        <v>82</v>
      </c>
      <c r="N166" s="57" t="s">
        <v>6</v>
      </c>
      <c r="O166" s="57"/>
      <c r="P166" s="57"/>
      <c r="Q166" s="57"/>
      <c r="R166" s="57" t="s">
        <v>733</v>
      </c>
    </row>
    <row r="167" spans="1:24" s="54" customFormat="1" ht="15.75" x14ac:dyDescent="0.25">
      <c r="A167" s="26" t="s">
        <v>426</v>
      </c>
      <c r="B167" s="56" t="s">
        <v>1457</v>
      </c>
      <c r="C167" s="56" t="s">
        <v>1194</v>
      </c>
      <c r="D167" s="56" t="s">
        <v>1195</v>
      </c>
      <c r="E167" s="56" t="s">
        <v>1309</v>
      </c>
      <c r="F167" s="56" t="s">
        <v>1641</v>
      </c>
      <c r="G167" s="56" t="s">
        <v>1642</v>
      </c>
      <c r="H167" s="56" t="s">
        <v>1196</v>
      </c>
      <c r="I167" s="56" t="s">
        <v>415</v>
      </c>
      <c r="J167" s="56" t="s">
        <v>1197</v>
      </c>
      <c r="K167" s="56"/>
      <c r="L167" s="56"/>
      <c r="M167" s="56" t="s">
        <v>82</v>
      </c>
      <c r="N167" s="56" t="s">
        <v>6</v>
      </c>
      <c r="O167" s="56"/>
      <c r="P167" s="56"/>
      <c r="Q167" s="56"/>
      <c r="R167" s="56" t="s">
        <v>733</v>
      </c>
      <c r="S167" s="27"/>
      <c r="T167" s="27"/>
      <c r="U167" s="40"/>
      <c r="V167" s="27"/>
      <c r="W167" s="27"/>
      <c r="X167" s="27"/>
    </row>
    <row r="168" spans="1:24" s="54" customFormat="1" ht="15.75" x14ac:dyDescent="0.25">
      <c r="A168" s="26" t="s">
        <v>426</v>
      </c>
      <c r="B168" s="56" t="s">
        <v>1457</v>
      </c>
      <c r="C168" s="56" t="s">
        <v>1198</v>
      </c>
      <c r="D168" s="56" t="s">
        <v>1199</v>
      </c>
      <c r="E168" s="56" t="s">
        <v>1310</v>
      </c>
      <c r="F168" s="56" t="s">
        <v>1643</v>
      </c>
      <c r="G168" s="56" t="s">
        <v>1644</v>
      </c>
      <c r="H168" s="56" t="s">
        <v>1200</v>
      </c>
      <c r="I168" s="56" t="s">
        <v>415</v>
      </c>
      <c r="J168" s="56" t="s">
        <v>1201</v>
      </c>
      <c r="K168" s="56"/>
      <c r="L168" s="56"/>
      <c r="M168" s="56" t="s">
        <v>82</v>
      </c>
      <c r="N168" s="56" t="s">
        <v>6</v>
      </c>
      <c r="O168" s="56"/>
      <c r="P168" s="56"/>
      <c r="Q168" s="56"/>
      <c r="R168" s="56" t="s">
        <v>733</v>
      </c>
      <c r="S168" s="27"/>
      <c r="T168" s="27"/>
      <c r="U168" s="40"/>
      <c r="V168" s="27"/>
      <c r="W168" s="27"/>
      <c r="X168" s="27"/>
    </row>
    <row r="169" spans="1:24" s="54" customFormat="1" ht="15.75" x14ac:dyDescent="0.25">
      <c r="A169" s="26" t="s">
        <v>426</v>
      </c>
      <c r="B169" s="56" t="s">
        <v>1457</v>
      </c>
      <c r="C169" s="56" t="s">
        <v>1202</v>
      </c>
      <c r="D169" s="56" t="s">
        <v>1203</v>
      </c>
      <c r="E169" s="56" t="s">
        <v>1311</v>
      </c>
      <c r="F169" s="56" t="s">
        <v>1645</v>
      </c>
      <c r="G169" s="56" t="s">
        <v>1646</v>
      </c>
      <c r="H169" s="56" t="s">
        <v>1204</v>
      </c>
      <c r="I169" s="56" t="s">
        <v>415</v>
      </c>
      <c r="J169" s="56" t="s">
        <v>1205</v>
      </c>
      <c r="K169" s="56"/>
      <c r="L169" s="56"/>
      <c r="M169" s="56" t="s">
        <v>82</v>
      </c>
      <c r="N169" s="56" t="s">
        <v>6</v>
      </c>
      <c r="O169" s="56"/>
      <c r="P169" s="56"/>
      <c r="Q169" s="56"/>
      <c r="R169" s="56" t="s">
        <v>733</v>
      </c>
      <c r="S169" s="27"/>
      <c r="T169" s="27"/>
      <c r="U169" s="40"/>
      <c r="V169" s="27"/>
      <c r="W169" s="27"/>
      <c r="X169" s="27"/>
    </row>
    <row r="170" spans="1:24" s="54" customFormat="1" ht="15.75" x14ac:dyDescent="0.25">
      <c r="A170" s="26" t="s">
        <v>426</v>
      </c>
      <c r="B170" s="56" t="s">
        <v>1457</v>
      </c>
      <c r="C170" s="56" t="s">
        <v>1206</v>
      </c>
      <c r="D170" s="56" t="s">
        <v>1207</v>
      </c>
      <c r="E170" s="56" t="s">
        <v>1312</v>
      </c>
      <c r="F170" s="56" t="s">
        <v>1647</v>
      </c>
      <c r="G170" s="56" t="s">
        <v>1648</v>
      </c>
      <c r="H170" s="56" t="s">
        <v>1208</v>
      </c>
      <c r="I170" s="56" t="s">
        <v>415</v>
      </c>
      <c r="J170" s="56" t="s">
        <v>1209</v>
      </c>
      <c r="K170" s="56"/>
      <c r="L170" s="56"/>
      <c r="M170" s="56" t="s">
        <v>82</v>
      </c>
      <c r="N170" s="56" t="s">
        <v>6</v>
      </c>
      <c r="O170" s="56"/>
      <c r="P170" s="56"/>
      <c r="Q170" s="56"/>
      <c r="R170" s="56" t="s">
        <v>733</v>
      </c>
      <c r="S170" s="27"/>
      <c r="T170" s="27"/>
      <c r="U170" s="40"/>
      <c r="V170" s="27"/>
      <c r="W170" s="27"/>
      <c r="X170" s="27"/>
    </row>
    <row r="171" spans="1:24" s="54" customFormat="1" ht="15.75" x14ac:dyDescent="0.25">
      <c r="A171" s="26" t="s">
        <v>426</v>
      </c>
      <c r="B171" s="56" t="s">
        <v>1457</v>
      </c>
      <c r="C171" s="56" t="s">
        <v>1210</v>
      </c>
      <c r="D171" s="56" t="s">
        <v>1211</v>
      </c>
      <c r="E171" s="56" t="s">
        <v>1313</v>
      </c>
      <c r="F171" s="56" t="s">
        <v>1649</v>
      </c>
      <c r="G171" s="56" t="s">
        <v>1650</v>
      </c>
      <c r="H171" s="56" t="s">
        <v>1212</v>
      </c>
      <c r="I171" s="56" t="s">
        <v>415</v>
      </c>
      <c r="J171" s="56" t="s">
        <v>1213</v>
      </c>
      <c r="K171" s="56"/>
      <c r="L171" s="56"/>
      <c r="M171" s="56" t="s">
        <v>82</v>
      </c>
      <c r="N171" s="56" t="s">
        <v>6</v>
      </c>
      <c r="O171" s="56"/>
      <c r="P171" s="56"/>
      <c r="Q171" s="56"/>
      <c r="R171" s="56" t="s">
        <v>733</v>
      </c>
      <c r="S171" s="27"/>
      <c r="T171" s="27"/>
      <c r="U171" s="40"/>
      <c r="V171" s="27"/>
      <c r="W171" s="27"/>
      <c r="X171" s="27"/>
    </row>
    <row r="172" spans="1:24" s="54" customFormat="1" ht="15.75" x14ac:dyDescent="0.25">
      <c r="A172" s="26" t="s">
        <v>426</v>
      </c>
      <c r="B172" s="56" t="s">
        <v>1457</v>
      </c>
      <c r="C172" s="56" t="s">
        <v>1214</v>
      </c>
      <c r="D172" s="56" t="s">
        <v>1215</v>
      </c>
      <c r="E172" s="56" t="s">
        <v>1314</v>
      </c>
      <c r="F172" s="56" t="s">
        <v>1651</v>
      </c>
      <c r="G172" s="56" t="s">
        <v>1652</v>
      </c>
      <c r="H172" s="56" t="s">
        <v>1216</v>
      </c>
      <c r="I172" s="56" t="s">
        <v>415</v>
      </c>
      <c r="J172" s="56" t="s">
        <v>1217</v>
      </c>
      <c r="K172" s="56"/>
      <c r="L172" s="56"/>
      <c r="M172" s="56" t="s">
        <v>82</v>
      </c>
      <c r="N172" s="56" t="s">
        <v>6</v>
      </c>
      <c r="O172" s="56"/>
      <c r="P172" s="56"/>
      <c r="Q172" s="56"/>
      <c r="R172" s="56" t="s">
        <v>733</v>
      </c>
      <c r="S172" s="27"/>
      <c r="T172" s="27"/>
      <c r="U172" s="40"/>
      <c r="V172" s="27"/>
      <c r="W172" s="27"/>
      <c r="X172" s="27"/>
    </row>
    <row r="173" spans="1:24" s="54" customFormat="1" ht="15.75" x14ac:dyDescent="0.25">
      <c r="A173" s="26" t="s">
        <v>426</v>
      </c>
      <c r="B173" s="55" t="s">
        <v>1458</v>
      </c>
      <c r="C173" s="55" t="s">
        <v>1218</v>
      </c>
      <c r="D173" s="55" t="s">
        <v>1219</v>
      </c>
      <c r="E173" s="55" t="s">
        <v>1315</v>
      </c>
      <c r="F173" s="55" t="s">
        <v>1653</v>
      </c>
      <c r="G173" s="55" t="s">
        <v>1220</v>
      </c>
      <c r="H173" s="55" t="s">
        <v>1221</v>
      </c>
      <c r="I173" s="55" t="s">
        <v>415</v>
      </c>
      <c r="J173" s="55" t="s">
        <v>1222</v>
      </c>
      <c r="K173" s="55" t="s">
        <v>1276</v>
      </c>
      <c r="L173" s="55"/>
      <c r="M173" s="55" t="s">
        <v>82</v>
      </c>
      <c r="N173" s="55" t="s">
        <v>6</v>
      </c>
      <c r="O173" s="55"/>
      <c r="P173" s="55"/>
      <c r="Q173" s="55"/>
      <c r="R173" s="55" t="s">
        <v>733</v>
      </c>
      <c r="S173" s="27"/>
      <c r="T173" s="27"/>
      <c r="U173" s="40"/>
      <c r="V173" s="27"/>
      <c r="W173" s="27"/>
      <c r="X173" s="27"/>
    </row>
    <row r="174" spans="1:24" s="54" customFormat="1" ht="15.75" x14ac:dyDescent="0.25">
      <c r="A174" s="26" t="s">
        <v>426</v>
      </c>
      <c r="B174" s="55" t="s">
        <v>1458</v>
      </c>
      <c r="C174" s="55" t="s">
        <v>1223</v>
      </c>
      <c r="D174" s="55" t="s">
        <v>1224</v>
      </c>
      <c r="E174" s="55" t="s">
        <v>1316</v>
      </c>
      <c r="F174" s="55" t="s">
        <v>1654</v>
      </c>
      <c r="G174" s="55" t="s">
        <v>1220</v>
      </c>
      <c r="H174" s="55" t="s">
        <v>1225</v>
      </c>
      <c r="I174" s="55" t="s">
        <v>415</v>
      </c>
      <c r="J174" s="55" t="s">
        <v>1226</v>
      </c>
      <c r="K174" s="55" t="s">
        <v>1277</v>
      </c>
      <c r="L174" s="55"/>
      <c r="M174" s="55" t="s">
        <v>82</v>
      </c>
      <c r="N174" s="55" t="s">
        <v>6</v>
      </c>
      <c r="O174" s="55"/>
      <c r="P174" s="55"/>
      <c r="Q174" s="55"/>
      <c r="R174" s="55" t="s">
        <v>733</v>
      </c>
      <c r="S174" s="27"/>
      <c r="T174" s="27"/>
      <c r="U174" s="40"/>
      <c r="V174" s="27"/>
      <c r="W174" s="27"/>
      <c r="X174" s="27"/>
    </row>
    <row r="175" spans="1:24" s="54" customFormat="1" ht="15.75" x14ac:dyDescent="0.25">
      <c r="A175" s="26" t="s">
        <v>426</v>
      </c>
      <c r="B175" s="55" t="s">
        <v>1458</v>
      </c>
      <c r="C175" s="55" t="s">
        <v>1227</v>
      </c>
      <c r="D175" s="55" t="s">
        <v>1270</v>
      </c>
      <c r="E175" s="55" t="s">
        <v>1317</v>
      </c>
      <c r="F175" s="55" t="s">
        <v>1655</v>
      </c>
      <c r="G175" s="55" t="s">
        <v>99</v>
      </c>
      <c r="H175" s="55" t="s">
        <v>1228</v>
      </c>
      <c r="I175" s="55" t="s">
        <v>415</v>
      </c>
      <c r="J175" s="55" t="s">
        <v>1229</v>
      </c>
      <c r="K175" s="55" t="s">
        <v>1278</v>
      </c>
      <c r="L175" s="55"/>
      <c r="M175" s="55" t="s">
        <v>82</v>
      </c>
      <c r="N175" s="55" t="s">
        <v>6</v>
      </c>
      <c r="O175" s="55"/>
      <c r="P175" s="55"/>
      <c r="Q175" s="55"/>
      <c r="R175" s="55" t="s">
        <v>733</v>
      </c>
      <c r="S175" s="27"/>
      <c r="T175" s="27"/>
      <c r="U175" s="40"/>
      <c r="V175" s="27"/>
      <c r="W175" s="27"/>
      <c r="X175" s="27"/>
    </row>
    <row r="176" spans="1:24" s="54" customFormat="1" ht="15.75" x14ac:dyDescent="0.25">
      <c r="A176" s="26" t="s">
        <v>426</v>
      </c>
      <c r="B176" s="55" t="s">
        <v>1458</v>
      </c>
      <c r="C176" s="55" t="s">
        <v>1230</v>
      </c>
      <c r="D176" s="55" t="s">
        <v>1231</v>
      </c>
      <c r="E176" s="55" t="s">
        <v>1318</v>
      </c>
      <c r="F176" s="55" t="s">
        <v>1656</v>
      </c>
      <c r="G176" s="55" t="s">
        <v>82</v>
      </c>
      <c r="H176" s="55" t="s">
        <v>1232</v>
      </c>
      <c r="I176" s="55" t="s">
        <v>415</v>
      </c>
      <c r="J176" s="55" t="s">
        <v>1233</v>
      </c>
      <c r="K176" s="55"/>
      <c r="L176" s="55"/>
      <c r="M176" s="55" t="s">
        <v>82</v>
      </c>
      <c r="N176" s="55" t="s">
        <v>6</v>
      </c>
      <c r="O176" s="55"/>
      <c r="P176" s="55"/>
      <c r="Q176" s="55"/>
      <c r="R176" s="55" t="s">
        <v>733</v>
      </c>
      <c r="S176" s="27"/>
      <c r="T176" s="27"/>
      <c r="U176" s="40"/>
      <c r="V176" s="27"/>
      <c r="W176" s="27"/>
      <c r="X176" s="27"/>
    </row>
    <row r="177" spans="1:24" s="54" customFormat="1" ht="15.75" x14ac:dyDescent="0.25">
      <c r="A177" s="26" t="s">
        <v>426</v>
      </c>
      <c r="B177" s="55" t="s">
        <v>1458</v>
      </c>
      <c r="C177" s="55" t="s">
        <v>1234</v>
      </c>
      <c r="D177" s="55" t="s">
        <v>1235</v>
      </c>
      <c r="E177" s="55" t="s">
        <v>1319</v>
      </c>
      <c r="F177" s="55" t="s">
        <v>1657</v>
      </c>
      <c r="G177" s="55" t="s">
        <v>82</v>
      </c>
      <c r="H177" s="55" t="s">
        <v>1236</v>
      </c>
      <c r="I177" s="55" t="s">
        <v>415</v>
      </c>
      <c r="J177" s="55" t="s">
        <v>1237</v>
      </c>
      <c r="K177" s="55"/>
      <c r="L177" s="55"/>
      <c r="M177" s="55" t="s">
        <v>82</v>
      </c>
      <c r="N177" s="55" t="s">
        <v>6</v>
      </c>
      <c r="O177" s="55"/>
      <c r="P177" s="55"/>
      <c r="Q177" s="55"/>
      <c r="R177" s="55" t="s">
        <v>733</v>
      </c>
      <c r="S177" s="27"/>
      <c r="T177" s="27"/>
      <c r="U177" s="40"/>
      <c r="V177" s="27"/>
      <c r="W177" s="27"/>
      <c r="X177" s="27"/>
    </row>
    <row r="178" spans="1:24" s="54" customFormat="1" ht="15.75" x14ac:dyDescent="0.25">
      <c r="A178" s="26" t="s">
        <v>426</v>
      </c>
      <c r="B178" s="55" t="s">
        <v>1458</v>
      </c>
      <c r="C178" s="55" t="s">
        <v>1238</v>
      </c>
      <c r="D178" s="55" t="s">
        <v>1239</v>
      </c>
      <c r="E178" s="55" t="s">
        <v>1320</v>
      </c>
      <c r="F178" s="55" t="s">
        <v>1658</v>
      </c>
      <c r="G178" s="55" t="s">
        <v>1240</v>
      </c>
      <c r="H178" s="55" t="s">
        <v>1241</v>
      </c>
      <c r="I178" s="55" t="s">
        <v>415</v>
      </c>
      <c r="J178" s="55" t="s">
        <v>1242</v>
      </c>
      <c r="K178" s="55" t="s">
        <v>1279</v>
      </c>
      <c r="L178" s="55"/>
      <c r="M178" s="55" t="s">
        <v>82</v>
      </c>
      <c r="N178" s="55" t="s">
        <v>6</v>
      </c>
      <c r="O178" s="55"/>
      <c r="P178" s="55"/>
      <c r="Q178" s="55"/>
      <c r="R178" s="55" t="s">
        <v>733</v>
      </c>
      <c r="S178" s="27"/>
      <c r="T178" s="27"/>
      <c r="U178" s="40"/>
      <c r="V178" s="27"/>
      <c r="W178" s="27"/>
      <c r="X178" s="27"/>
    </row>
    <row r="179" spans="1:24" s="54" customFormat="1" ht="15.75" x14ac:dyDescent="0.25">
      <c r="A179" s="26" t="s">
        <v>426</v>
      </c>
      <c r="B179" s="55" t="s">
        <v>1458</v>
      </c>
      <c r="C179" s="55" t="s">
        <v>1243</v>
      </c>
      <c r="D179" s="55" t="s">
        <v>1244</v>
      </c>
      <c r="E179" s="55" t="s">
        <v>1321</v>
      </c>
      <c r="F179" s="55" t="s">
        <v>1659</v>
      </c>
      <c r="G179" s="55" t="s">
        <v>1240</v>
      </c>
      <c r="H179" s="55" t="s">
        <v>1245</v>
      </c>
      <c r="I179" s="55" t="s">
        <v>415</v>
      </c>
      <c r="J179" s="55" t="s">
        <v>1246</v>
      </c>
      <c r="K179" s="55" t="s">
        <v>1280</v>
      </c>
      <c r="L179" s="55"/>
      <c r="M179" s="55" t="s">
        <v>82</v>
      </c>
      <c r="N179" s="55" t="s">
        <v>6</v>
      </c>
      <c r="O179" s="55"/>
      <c r="P179" s="55"/>
      <c r="Q179" s="55"/>
      <c r="R179" s="55" t="s">
        <v>733</v>
      </c>
      <c r="S179" s="27"/>
      <c r="T179" s="27"/>
      <c r="U179" s="40"/>
      <c r="V179" s="27"/>
      <c r="W179" s="27"/>
      <c r="X179" s="27"/>
    </row>
    <row r="180" spans="1:24" s="54" customFormat="1" ht="15.75" x14ac:dyDescent="0.25">
      <c r="A180" s="26" t="s">
        <v>426</v>
      </c>
      <c r="B180" s="55" t="s">
        <v>1458</v>
      </c>
      <c r="C180" s="55" t="s">
        <v>1247</v>
      </c>
      <c r="D180" s="55" t="s">
        <v>1248</v>
      </c>
      <c r="E180" s="55" t="s">
        <v>1322</v>
      </c>
      <c r="F180" s="55" t="s">
        <v>1660</v>
      </c>
      <c r="G180" s="55" t="s">
        <v>99</v>
      </c>
      <c r="H180" s="55" t="s">
        <v>1249</v>
      </c>
      <c r="I180" s="55" t="s">
        <v>415</v>
      </c>
      <c r="J180" s="55" t="s">
        <v>1250</v>
      </c>
      <c r="K180" s="55" t="s">
        <v>1281</v>
      </c>
      <c r="L180" s="55"/>
      <c r="M180" s="55" t="s">
        <v>82</v>
      </c>
      <c r="N180" s="55" t="s">
        <v>6</v>
      </c>
      <c r="O180" s="55"/>
      <c r="P180" s="55"/>
      <c r="Q180" s="55"/>
      <c r="R180" s="55" t="s">
        <v>733</v>
      </c>
      <c r="S180" s="27"/>
      <c r="T180" s="27"/>
      <c r="U180" s="40"/>
      <c r="V180" s="27"/>
      <c r="W180" s="27"/>
      <c r="X180" s="27"/>
    </row>
    <row r="181" spans="1:24" s="54" customFormat="1" ht="15.75" x14ac:dyDescent="0.25">
      <c r="A181" s="26" t="s">
        <v>426</v>
      </c>
      <c r="B181" s="55" t="s">
        <v>1458</v>
      </c>
      <c r="C181" s="55" t="s">
        <v>1251</v>
      </c>
      <c r="D181" s="55" t="s">
        <v>1252</v>
      </c>
      <c r="E181" s="55" t="s">
        <v>1323</v>
      </c>
      <c r="F181" s="55" t="s">
        <v>1661</v>
      </c>
      <c r="G181" s="55" t="s">
        <v>1084</v>
      </c>
      <c r="H181" s="55" t="s">
        <v>1253</v>
      </c>
      <c r="I181" s="55" t="s">
        <v>415</v>
      </c>
      <c r="J181" s="55" t="s">
        <v>1254</v>
      </c>
      <c r="K181" s="55" t="s">
        <v>1282</v>
      </c>
      <c r="L181" s="55"/>
      <c r="M181" s="55" t="s">
        <v>82</v>
      </c>
      <c r="N181" s="55" t="s">
        <v>6</v>
      </c>
      <c r="O181" s="55"/>
      <c r="P181" s="55"/>
      <c r="Q181" s="55"/>
      <c r="R181" s="55" t="s">
        <v>733</v>
      </c>
      <c r="S181" s="27"/>
      <c r="T181" s="27"/>
      <c r="U181" s="40"/>
      <c r="V181" s="27"/>
      <c r="W181" s="27"/>
      <c r="X181" s="27"/>
    </row>
    <row r="182" spans="1:24" s="54" customFormat="1" ht="15.75" x14ac:dyDescent="0.25">
      <c r="A182" s="26" t="s">
        <v>426</v>
      </c>
      <c r="B182" s="55" t="s">
        <v>1458</v>
      </c>
      <c r="C182" s="55" t="s">
        <v>1255</v>
      </c>
      <c r="D182" s="55" t="s">
        <v>1271</v>
      </c>
      <c r="E182" s="55" t="s">
        <v>1327</v>
      </c>
      <c r="F182" s="55" t="s">
        <v>1662</v>
      </c>
      <c r="G182" s="55" t="s">
        <v>1256</v>
      </c>
      <c r="H182" s="55" t="s">
        <v>1257</v>
      </c>
      <c r="I182" s="55" t="s">
        <v>415</v>
      </c>
      <c r="J182" s="55" t="s">
        <v>1258</v>
      </c>
      <c r="K182" s="55" t="s">
        <v>1283</v>
      </c>
      <c r="L182" s="55"/>
      <c r="M182" s="55" t="s">
        <v>82</v>
      </c>
      <c r="N182" s="55" t="s">
        <v>6</v>
      </c>
      <c r="O182" s="55"/>
      <c r="P182" s="55"/>
      <c r="Q182" s="55"/>
      <c r="R182" s="55" t="s">
        <v>733</v>
      </c>
      <c r="S182" s="27"/>
      <c r="T182" s="27"/>
      <c r="U182" s="40"/>
      <c r="V182" s="27"/>
      <c r="W182" s="27"/>
      <c r="X182" s="27"/>
    </row>
    <row r="183" spans="1:24" s="54" customFormat="1" ht="15.75" x14ac:dyDescent="0.25">
      <c r="A183" s="26" t="s">
        <v>426</v>
      </c>
      <c r="B183" s="55" t="s">
        <v>1458</v>
      </c>
      <c r="C183" s="55" t="s">
        <v>1259</v>
      </c>
      <c r="D183" s="55" t="s">
        <v>1260</v>
      </c>
      <c r="E183" s="55" t="s">
        <v>1324</v>
      </c>
      <c r="F183" s="55" t="s">
        <v>1663</v>
      </c>
      <c r="G183" s="55" t="s">
        <v>82</v>
      </c>
      <c r="H183" s="55" t="s">
        <v>1261</v>
      </c>
      <c r="I183" s="55" t="s">
        <v>415</v>
      </c>
      <c r="J183" s="55" t="s">
        <v>1262</v>
      </c>
      <c r="K183" s="55" t="s">
        <v>1284</v>
      </c>
      <c r="L183" s="55"/>
      <c r="M183" s="55" t="s">
        <v>82</v>
      </c>
      <c r="N183" s="55" t="s">
        <v>6</v>
      </c>
      <c r="O183" s="55"/>
      <c r="P183" s="55"/>
      <c r="Q183" s="55"/>
      <c r="R183" s="55" t="s">
        <v>733</v>
      </c>
      <c r="S183" s="27"/>
      <c r="T183" s="27"/>
      <c r="U183" s="40"/>
      <c r="V183" s="27"/>
      <c r="W183" s="27"/>
      <c r="X183" s="27"/>
    </row>
    <row r="184" spans="1:24" s="54" customFormat="1" ht="15.75" x14ac:dyDescent="0.25">
      <c r="A184" s="26" t="s">
        <v>426</v>
      </c>
      <c r="B184" s="55" t="s">
        <v>1458</v>
      </c>
      <c r="C184" s="55" t="s">
        <v>1263</v>
      </c>
      <c r="D184" s="55" t="s">
        <v>1329</v>
      </c>
      <c r="E184" s="55" t="s">
        <v>1328</v>
      </c>
      <c r="F184" s="55" t="s">
        <v>1664</v>
      </c>
      <c r="G184" s="55" t="s">
        <v>1256</v>
      </c>
      <c r="H184" s="55" t="s">
        <v>1264</v>
      </c>
      <c r="I184" s="55" t="s">
        <v>415</v>
      </c>
      <c r="J184" s="55" t="s">
        <v>1265</v>
      </c>
      <c r="K184" s="55" t="s">
        <v>1283</v>
      </c>
      <c r="L184" s="55"/>
      <c r="M184" s="55" t="s">
        <v>82</v>
      </c>
      <c r="N184" s="55" t="s">
        <v>6</v>
      </c>
      <c r="O184" s="55"/>
      <c r="P184" s="55"/>
      <c r="Q184" s="55"/>
      <c r="R184" s="55" t="s">
        <v>733</v>
      </c>
      <c r="S184" s="27"/>
      <c r="T184" s="27"/>
      <c r="U184" s="40"/>
      <c r="V184" s="27"/>
      <c r="W184" s="27"/>
      <c r="X184" s="27"/>
    </row>
    <row r="185" spans="1:24" s="54" customFormat="1" ht="15.75" x14ac:dyDescent="0.25">
      <c r="A185" s="26" t="s">
        <v>426</v>
      </c>
      <c r="B185" s="55" t="s">
        <v>1458</v>
      </c>
      <c r="C185" s="55" t="s">
        <v>1266</v>
      </c>
      <c r="D185" s="55" t="s">
        <v>1267</v>
      </c>
      <c r="E185" s="55" t="s">
        <v>1325</v>
      </c>
      <c r="F185" s="55" t="s">
        <v>1665</v>
      </c>
      <c r="G185" s="55" t="s">
        <v>99</v>
      </c>
      <c r="H185" s="55" t="s">
        <v>1268</v>
      </c>
      <c r="I185" s="55" t="s">
        <v>415</v>
      </c>
      <c r="J185" s="55" t="s">
        <v>1269</v>
      </c>
      <c r="K185" s="55" t="s">
        <v>1285</v>
      </c>
      <c r="L185" s="55"/>
      <c r="M185" s="55" t="s">
        <v>82</v>
      </c>
      <c r="N185" s="55" t="s">
        <v>6</v>
      </c>
      <c r="O185" s="55"/>
      <c r="P185" s="55"/>
      <c r="Q185" s="55"/>
      <c r="R185" s="55" t="s">
        <v>733</v>
      </c>
      <c r="S185" s="27"/>
      <c r="T185" s="27"/>
      <c r="U185" s="40"/>
      <c r="V185" s="27"/>
      <c r="W185" s="27"/>
      <c r="X185" s="27"/>
    </row>
    <row r="186" spans="1:24" ht="17.850000000000001" customHeight="1" x14ac:dyDescent="0.25">
      <c r="A186" s="26" t="s">
        <v>426</v>
      </c>
      <c r="B186" s="27" t="s">
        <v>1459</v>
      </c>
      <c r="C186" s="27" t="s">
        <v>294</v>
      </c>
      <c r="D186" s="27" t="s">
        <v>1708</v>
      </c>
      <c r="E186" s="27" t="s">
        <v>401</v>
      </c>
      <c r="F186" s="27" t="s">
        <v>306</v>
      </c>
      <c r="G186" s="27" t="s">
        <v>308</v>
      </c>
      <c r="H186" s="27" t="s">
        <v>452</v>
      </c>
      <c r="I186" s="27" t="s">
        <v>420</v>
      </c>
      <c r="J186" s="27" t="s">
        <v>280</v>
      </c>
      <c r="K186" s="27" t="s">
        <v>287</v>
      </c>
      <c r="M186" s="27" t="s">
        <v>82</v>
      </c>
      <c r="N186" s="27" t="s">
        <v>287</v>
      </c>
      <c r="R186" s="27" t="s">
        <v>733</v>
      </c>
      <c r="S186" s="46" t="s">
        <v>1335</v>
      </c>
      <c r="T186" s="42" t="s">
        <v>1355</v>
      </c>
      <c r="U186" s="43">
        <v>1</v>
      </c>
      <c r="V186" s="42" t="s">
        <v>1111</v>
      </c>
      <c r="W186" s="49" t="s">
        <v>1354</v>
      </c>
      <c r="X186" s="46" t="s">
        <v>1372</v>
      </c>
    </row>
    <row r="187" spans="1:24" ht="17.850000000000001" customHeight="1" x14ac:dyDescent="0.25">
      <c r="A187" s="26" t="s">
        <v>426</v>
      </c>
      <c r="B187" s="27" t="s">
        <v>1459</v>
      </c>
      <c r="C187" s="27" t="s">
        <v>295</v>
      </c>
      <c r="D187" s="27" t="s">
        <v>1708</v>
      </c>
      <c r="E187" s="27" t="s">
        <v>401</v>
      </c>
      <c r="F187" s="27" t="s">
        <v>307</v>
      </c>
      <c r="G187" s="27" t="s">
        <v>309</v>
      </c>
      <c r="H187" s="27" t="s">
        <v>454</v>
      </c>
      <c r="I187" s="27" t="s">
        <v>420</v>
      </c>
      <c r="J187" s="27" t="s">
        <v>281</v>
      </c>
      <c r="K187" s="27" t="s">
        <v>287</v>
      </c>
      <c r="M187" s="27" t="s">
        <v>82</v>
      </c>
      <c r="N187" s="27" t="s">
        <v>287</v>
      </c>
      <c r="R187" s="27" t="s">
        <v>733</v>
      </c>
      <c r="S187" s="46" t="s">
        <v>1335</v>
      </c>
      <c r="T187" s="42" t="s">
        <v>1355</v>
      </c>
      <c r="U187" s="43">
        <v>2</v>
      </c>
      <c r="V187" s="42" t="s">
        <v>1111</v>
      </c>
      <c r="W187" s="49" t="s">
        <v>1354</v>
      </c>
      <c r="X187" s="46" t="s">
        <v>1372</v>
      </c>
    </row>
    <row r="188" spans="1:24" ht="17.850000000000001" customHeight="1" x14ac:dyDescent="0.25">
      <c r="A188" s="26" t="s">
        <v>426</v>
      </c>
      <c r="B188" s="27" t="s">
        <v>1459</v>
      </c>
      <c r="C188" s="27" t="s">
        <v>296</v>
      </c>
      <c r="D188" s="27" t="s">
        <v>724</v>
      </c>
      <c r="E188" s="27" t="s">
        <v>380</v>
      </c>
      <c r="F188" s="27" t="s">
        <v>617</v>
      </c>
      <c r="G188" s="27" t="s">
        <v>1666</v>
      </c>
      <c r="H188" s="27" t="s">
        <v>609</v>
      </c>
      <c r="I188" s="27" t="s">
        <v>420</v>
      </c>
      <c r="J188" s="27" t="s">
        <v>282</v>
      </c>
      <c r="M188" s="27" t="s">
        <v>82</v>
      </c>
      <c r="N188" s="27" t="s">
        <v>6</v>
      </c>
      <c r="P188" s="27" t="s">
        <v>686</v>
      </c>
      <c r="Q188" s="27">
        <v>1</v>
      </c>
      <c r="R188" s="27" t="s">
        <v>733</v>
      </c>
    </row>
    <row r="189" spans="1:24" ht="17.850000000000001" customHeight="1" x14ac:dyDescent="0.25">
      <c r="A189" s="26" t="s">
        <v>426</v>
      </c>
      <c r="B189" s="27" t="s">
        <v>1459</v>
      </c>
      <c r="C189" s="27" t="s">
        <v>297</v>
      </c>
      <c r="D189" s="27" t="s">
        <v>724</v>
      </c>
      <c r="E189" s="27" t="s">
        <v>380</v>
      </c>
      <c r="F189" s="27" t="s">
        <v>1667</v>
      </c>
      <c r="G189" s="27" t="s">
        <v>1666</v>
      </c>
      <c r="H189" s="27" t="s">
        <v>609</v>
      </c>
      <c r="I189" s="27" t="s">
        <v>420</v>
      </c>
      <c r="J189" s="27" t="s">
        <v>283</v>
      </c>
      <c r="M189" s="27" t="s">
        <v>82</v>
      </c>
      <c r="N189" s="27" t="s">
        <v>6</v>
      </c>
      <c r="R189" s="27" t="s">
        <v>733</v>
      </c>
    </row>
    <row r="190" spans="1:24" ht="17.850000000000001" customHeight="1" x14ac:dyDescent="0.25">
      <c r="A190" s="26" t="s">
        <v>426</v>
      </c>
      <c r="B190" s="27" t="s">
        <v>1459</v>
      </c>
      <c r="C190" s="27" t="s">
        <v>298</v>
      </c>
      <c r="D190" s="27" t="s">
        <v>724</v>
      </c>
      <c r="E190" s="27" t="s">
        <v>380</v>
      </c>
      <c r="F190" s="27" t="s">
        <v>1668</v>
      </c>
      <c r="G190" s="27" t="s">
        <v>1666</v>
      </c>
      <c r="H190" s="27" t="s">
        <v>609</v>
      </c>
      <c r="I190" s="27" t="s">
        <v>420</v>
      </c>
      <c r="J190" s="27" t="s">
        <v>284</v>
      </c>
      <c r="M190" s="27" t="s">
        <v>82</v>
      </c>
      <c r="N190" s="27" t="s">
        <v>6</v>
      </c>
      <c r="P190" s="27" t="s">
        <v>685</v>
      </c>
      <c r="Q190" s="27">
        <v>1</v>
      </c>
      <c r="R190" s="27" t="s">
        <v>733</v>
      </c>
      <c r="S190" s="46" t="s">
        <v>1335</v>
      </c>
      <c r="T190" s="42" t="s">
        <v>1355</v>
      </c>
      <c r="U190" s="43">
        <v>3</v>
      </c>
      <c r="V190" s="42" t="s">
        <v>1111</v>
      </c>
      <c r="W190" s="49" t="s">
        <v>1354</v>
      </c>
      <c r="X190" s="46" t="s">
        <v>1372</v>
      </c>
    </row>
    <row r="191" spans="1:24" ht="17.850000000000001" customHeight="1" x14ac:dyDescent="0.25">
      <c r="A191" s="26" t="s">
        <v>426</v>
      </c>
      <c r="B191" s="27" t="s">
        <v>1459</v>
      </c>
      <c r="C191" s="27" t="s">
        <v>299</v>
      </c>
      <c r="D191" s="27" t="s">
        <v>724</v>
      </c>
      <c r="E191" s="27" t="s">
        <v>380</v>
      </c>
      <c r="F191" s="27" t="s">
        <v>1669</v>
      </c>
      <c r="G191" s="27" t="s">
        <v>1666</v>
      </c>
      <c r="H191" s="27" t="s">
        <v>609</v>
      </c>
      <c r="I191" s="27" t="s">
        <v>420</v>
      </c>
      <c r="J191" s="27" t="s">
        <v>285</v>
      </c>
      <c r="M191" s="27" t="s">
        <v>82</v>
      </c>
      <c r="N191" s="27" t="s">
        <v>6</v>
      </c>
      <c r="R191" s="27" t="s">
        <v>733</v>
      </c>
    </row>
    <row r="192" spans="1:24" ht="17.850000000000001" customHeight="1" x14ac:dyDescent="0.25">
      <c r="A192" s="26" t="s">
        <v>426</v>
      </c>
      <c r="B192" s="27" t="s">
        <v>1459</v>
      </c>
      <c r="C192" s="27" t="s">
        <v>1379</v>
      </c>
      <c r="D192" s="27" t="s">
        <v>1382</v>
      </c>
      <c r="E192" s="27" t="s">
        <v>644</v>
      </c>
      <c r="F192" s="27" t="s">
        <v>1670</v>
      </c>
      <c r="G192" s="27" t="s">
        <v>1668</v>
      </c>
      <c r="H192" s="27" t="s">
        <v>645</v>
      </c>
      <c r="I192" s="27" t="s">
        <v>420</v>
      </c>
      <c r="J192" s="27" t="s">
        <v>643</v>
      </c>
      <c r="K192" s="27" t="s">
        <v>647</v>
      </c>
      <c r="M192" s="27" t="s">
        <v>82</v>
      </c>
      <c r="N192" s="27" t="s">
        <v>6</v>
      </c>
      <c r="P192" s="27" t="s">
        <v>678</v>
      </c>
      <c r="Q192" s="27">
        <v>1</v>
      </c>
      <c r="R192" s="27" t="s">
        <v>733</v>
      </c>
      <c r="S192" s="46" t="s">
        <v>1335</v>
      </c>
      <c r="T192" s="42" t="s">
        <v>1356</v>
      </c>
      <c r="U192" s="43">
        <v>1</v>
      </c>
      <c r="V192" s="42" t="s">
        <v>1111</v>
      </c>
      <c r="W192" s="49" t="s">
        <v>1354</v>
      </c>
      <c r="X192" s="49" t="s">
        <v>1357</v>
      </c>
    </row>
    <row r="193" spans="1:24" ht="17.850000000000001" customHeight="1" x14ac:dyDescent="0.25">
      <c r="A193" s="26" t="s">
        <v>426</v>
      </c>
      <c r="B193" s="27" t="s">
        <v>1459</v>
      </c>
      <c r="C193" s="27" t="s">
        <v>1380</v>
      </c>
      <c r="D193" s="27" t="s">
        <v>1382</v>
      </c>
      <c r="E193" s="27" t="s">
        <v>381</v>
      </c>
      <c r="F193" s="27" t="s">
        <v>1671</v>
      </c>
      <c r="G193" s="27" t="s">
        <v>1668</v>
      </c>
      <c r="H193" s="27" t="s">
        <v>609</v>
      </c>
      <c r="I193" s="27" t="s">
        <v>420</v>
      </c>
      <c r="J193" s="27" t="s">
        <v>1383</v>
      </c>
      <c r="K193" s="27" t="s">
        <v>653</v>
      </c>
      <c r="M193" s="27" t="s">
        <v>82</v>
      </c>
      <c r="N193" s="27" t="s">
        <v>6</v>
      </c>
      <c r="P193" s="27" t="s">
        <v>679</v>
      </c>
      <c r="Q193" s="27">
        <v>1</v>
      </c>
      <c r="R193" s="27" t="s">
        <v>733</v>
      </c>
      <c r="S193" s="46" t="s">
        <v>1335</v>
      </c>
      <c r="T193" s="42" t="s">
        <v>1356</v>
      </c>
      <c r="U193" s="43">
        <v>2</v>
      </c>
      <c r="V193" s="42" t="s">
        <v>1111</v>
      </c>
      <c r="W193" s="49" t="s">
        <v>1354</v>
      </c>
      <c r="X193" s="49" t="s">
        <v>1357</v>
      </c>
    </row>
    <row r="194" spans="1:24" ht="17.850000000000001" customHeight="1" x14ac:dyDescent="0.25">
      <c r="A194" s="26" t="s">
        <v>426</v>
      </c>
      <c r="B194" s="27" t="s">
        <v>1459</v>
      </c>
      <c r="C194" s="27" t="s">
        <v>1381</v>
      </c>
      <c r="D194" s="27" t="s">
        <v>1382</v>
      </c>
      <c r="E194" s="27" t="s">
        <v>381</v>
      </c>
      <c r="F194" s="27" t="s">
        <v>1672</v>
      </c>
      <c r="G194" s="27" t="s">
        <v>1668</v>
      </c>
      <c r="H194" s="27" t="s">
        <v>609</v>
      </c>
      <c r="I194" s="27" t="s">
        <v>420</v>
      </c>
      <c r="J194" s="27" t="s">
        <v>1384</v>
      </c>
      <c r="K194" s="27" t="s">
        <v>648</v>
      </c>
      <c r="M194" s="27" t="s">
        <v>82</v>
      </c>
      <c r="N194" s="27" t="s">
        <v>6</v>
      </c>
      <c r="P194" s="27" t="s">
        <v>680</v>
      </c>
      <c r="Q194" s="27">
        <v>1</v>
      </c>
      <c r="R194" s="27" t="s">
        <v>733</v>
      </c>
      <c r="S194" s="46" t="s">
        <v>1335</v>
      </c>
      <c r="T194" s="42" t="s">
        <v>1356</v>
      </c>
      <c r="U194" s="43">
        <v>3</v>
      </c>
      <c r="V194" s="42" t="s">
        <v>1111</v>
      </c>
      <c r="W194" s="49" t="s">
        <v>1354</v>
      </c>
      <c r="X194" s="49" t="s">
        <v>1357</v>
      </c>
    </row>
    <row r="195" spans="1:24" ht="17.850000000000001" customHeight="1" x14ac:dyDescent="0.25">
      <c r="A195" s="26" t="s">
        <v>426</v>
      </c>
      <c r="B195" s="27" t="s">
        <v>1459</v>
      </c>
      <c r="C195" s="27" t="s">
        <v>314</v>
      </c>
      <c r="D195" s="27" t="s">
        <v>286</v>
      </c>
      <c r="E195" s="27" t="s">
        <v>402</v>
      </c>
      <c r="F195" s="27" t="s">
        <v>310</v>
      </c>
      <c r="G195" s="27" t="s">
        <v>1673</v>
      </c>
      <c r="H195" s="27" t="s">
        <v>457</v>
      </c>
      <c r="I195" s="27" t="s">
        <v>420</v>
      </c>
      <c r="J195" s="27" t="s">
        <v>286</v>
      </c>
      <c r="K195" s="27" t="s">
        <v>287</v>
      </c>
      <c r="M195" s="27" t="s">
        <v>82</v>
      </c>
      <c r="N195" s="27" t="s">
        <v>287</v>
      </c>
      <c r="R195" s="27" t="s">
        <v>733</v>
      </c>
    </row>
    <row r="196" spans="1:24" ht="17.850000000000001" customHeight="1" x14ac:dyDescent="0.25">
      <c r="A196" s="26" t="s">
        <v>426</v>
      </c>
      <c r="B196" s="27" t="s">
        <v>1459</v>
      </c>
      <c r="C196" s="27" t="s">
        <v>300</v>
      </c>
      <c r="D196" s="27" t="s">
        <v>1709</v>
      </c>
      <c r="E196" s="27" t="s">
        <v>403</v>
      </c>
      <c r="F196" s="27" t="s">
        <v>311</v>
      </c>
      <c r="G196" s="27" t="s">
        <v>82</v>
      </c>
      <c r="H196" s="27" t="s">
        <v>311</v>
      </c>
      <c r="I196" s="27" t="s">
        <v>420</v>
      </c>
      <c r="J196" s="27" t="s">
        <v>288</v>
      </c>
      <c r="K196" s="27" t="s">
        <v>287</v>
      </c>
      <c r="M196" s="27" t="s">
        <v>82</v>
      </c>
      <c r="N196" s="27" t="s">
        <v>287</v>
      </c>
      <c r="R196" s="27" t="s">
        <v>733</v>
      </c>
    </row>
    <row r="197" spans="1:24" ht="17.850000000000001" customHeight="1" x14ac:dyDescent="0.25">
      <c r="A197" s="26" t="s">
        <v>426</v>
      </c>
      <c r="B197" s="27" t="s">
        <v>1459</v>
      </c>
      <c r="C197" s="27" t="s">
        <v>315</v>
      </c>
      <c r="D197" s="27" t="s">
        <v>1709</v>
      </c>
      <c r="E197" s="27" t="s">
        <v>403</v>
      </c>
      <c r="F197" s="27" t="s">
        <v>312</v>
      </c>
      <c r="G197" s="27" t="s">
        <v>82</v>
      </c>
      <c r="H197" s="27" t="s">
        <v>312</v>
      </c>
      <c r="I197" s="27" t="s">
        <v>420</v>
      </c>
      <c r="J197" s="27" t="s">
        <v>289</v>
      </c>
      <c r="K197" s="27" t="s">
        <v>287</v>
      </c>
      <c r="M197" s="27" t="s">
        <v>82</v>
      </c>
      <c r="N197" s="27" t="s">
        <v>287</v>
      </c>
      <c r="R197" s="27" t="s">
        <v>733</v>
      </c>
    </row>
    <row r="198" spans="1:24" ht="17.850000000000001" customHeight="1" x14ac:dyDescent="0.25">
      <c r="A198" s="26" t="s">
        <v>426</v>
      </c>
      <c r="B198" s="27" t="s">
        <v>1459</v>
      </c>
      <c r="C198" s="27" t="s">
        <v>316</v>
      </c>
      <c r="D198" s="27" t="s">
        <v>1709</v>
      </c>
      <c r="E198" s="27" t="s">
        <v>403</v>
      </c>
      <c r="F198" s="27" t="s">
        <v>313</v>
      </c>
      <c r="G198" s="27" t="s">
        <v>1674</v>
      </c>
      <c r="I198" s="27" t="s">
        <v>420</v>
      </c>
      <c r="J198" s="27" t="s">
        <v>290</v>
      </c>
      <c r="K198" s="27" t="s">
        <v>287</v>
      </c>
      <c r="M198" s="27" t="s">
        <v>82</v>
      </c>
      <c r="N198" s="27" t="s">
        <v>287</v>
      </c>
      <c r="R198" s="27" t="s">
        <v>733</v>
      </c>
      <c r="S198" s="42" t="s">
        <v>1360</v>
      </c>
      <c r="T198" s="47" t="s">
        <v>1358</v>
      </c>
      <c r="U198" s="60">
        <v>1</v>
      </c>
      <c r="V198" s="47" t="s">
        <v>1368</v>
      </c>
      <c r="W198" s="61" t="s">
        <v>1361</v>
      </c>
      <c r="X198" s="61" t="s">
        <v>1359</v>
      </c>
    </row>
    <row r="199" spans="1:24" ht="17.850000000000001" customHeight="1" x14ac:dyDescent="0.25">
      <c r="A199" s="26" t="s">
        <v>426</v>
      </c>
      <c r="B199" s="27" t="s">
        <v>1459</v>
      </c>
      <c r="C199" s="27" t="s">
        <v>318</v>
      </c>
      <c r="D199" s="27" t="s">
        <v>725</v>
      </c>
      <c r="E199" s="27" t="s">
        <v>403</v>
      </c>
      <c r="F199" s="27" t="s">
        <v>1675</v>
      </c>
      <c r="G199" s="27" t="s">
        <v>1676</v>
      </c>
      <c r="H199" s="27" t="s">
        <v>459</v>
      </c>
      <c r="I199" s="27" t="s">
        <v>420</v>
      </c>
      <c r="J199" s="27" t="s">
        <v>291</v>
      </c>
      <c r="K199" s="27" t="s">
        <v>978</v>
      </c>
      <c r="M199" s="27" t="s">
        <v>82</v>
      </c>
      <c r="N199" s="27" t="s">
        <v>6</v>
      </c>
      <c r="P199" s="27" t="s">
        <v>684</v>
      </c>
      <c r="Q199" s="27">
        <v>4</v>
      </c>
      <c r="R199" s="27" t="s">
        <v>733</v>
      </c>
      <c r="S199" s="42" t="s">
        <v>1360</v>
      </c>
      <c r="T199" s="47" t="s">
        <v>1358</v>
      </c>
      <c r="U199" s="60">
        <v>2</v>
      </c>
      <c r="V199" s="47" t="s">
        <v>1368</v>
      </c>
      <c r="W199" s="61" t="s">
        <v>1361</v>
      </c>
      <c r="X199" s="61" t="s">
        <v>1359</v>
      </c>
    </row>
    <row r="200" spans="1:24" ht="17.850000000000001" customHeight="1" x14ac:dyDescent="0.25">
      <c r="A200" s="26" t="s">
        <v>426</v>
      </c>
      <c r="B200" s="27" t="s">
        <v>1459</v>
      </c>
      <c r="C200" s="27" t="s">
        <v>319</v>
      </c>
      <c r="D200" s="27" t="s">
        <v>726</v>
      </c>
      <c r="E200" s="27" t="s">
        <v>403</v>
      </c>
      <c r="F200" s="27" t="s">
        <v>317</v>
      </c>
      <c r="G200" s="27" t="s">
        <v>1674</v>
      </c>
      <c r="H200" s="27" t="s">
        <v>459</v>
      </c>
      <c r="I200" s="27" t="s">
        <v>420</v>
      </c>
      <c r="J200" s="27" t="s">
        <v>292</v>
      </c>
      <c r="K200" s="27" t="s">
        <v>292</v>
      </c>
      <c r="M200" s="27" t="s">
        <v>82</v>
      </c>
      <c r="N200" s="27" t="s">
        <v>6</v>
      </c>
      <c r="P200" s="27" t="s">
        <v>683</v>
      </c>
      <c r="Q200" s="27">
        <v>1</v>
      </c>
      <c r="R200" s="27" t="s">
        <v>733</v>
      </c>
      <c r="S200" s="42" t="s">
        <v>1360</v>
      </c>
      <c r="T200" s="47" t="s">
        <v>1358</v>
      </c>
      <c r="U200" s="60">
        <v>3</v>
      </c>
      <c r="V200" s="47" t="s">
        <v>1368</v>
      </c>
      <c r="W200" s="61" t="s">
        <v>1361</v>
      </c>
      <c r="X200" s="61" t="s">
        <v>1359</v>
      </c>
    </row>
    <row r="201" spans="1:24" ht="17.850000000000001" customHeight="1" x14ac:dyDescent="0.25">
      <c r="A201" s="26" t="s">
        <v>426</v>
      </c>
      <c r="B201" s="27" t="s">
        <v>1459</v>
      </c>
      <c r="C201" s="27" t="s">
        <v>320</v>
      </c>
      <c r="D201" s="27" t="s">
        <v>1710</v>
      </c>
      <c r="E201" s="27" t="s">
        <v>404</v>
      </c>
      <c r="F201" s="27" t="s">
        <v>321</v>
      </c>
      <c r="G201" s="27" t="s">
        <v>82</v>
      </c>
      <c r="H201" s="27" t="s">
        <v>321</v>
      </c>
      <c r="I201" s="27" t="s">
        <v>420</v>
      </c>
      <c r="J201" s="27" t="s">
        <v>293</v>
      </c>
      <c r="K201" s="27" t="s">
        <v>287</v>
      </c>
      <c r="M201" s="27" t="s">
        <v>666</v>
      </c>
      <c r="N201" s="27" t="s">
        <v>287</v>
      </c>
      <c r="R201" s="27" t="s">
        <v>733</v>
      </c>
      <c r="S201" s="42" t="s">
        <v>1360</v>
      </c>
      <c r="T201" s="47" t="s">
        <v>1362</v>
      </c>
      <c r="U201" s="60">
        <v>1</v>
      </c>
      <c r="V201" s="47" t="s">
        <v>1368</v>
      </c>
      <c r="W201" s="61" t="s">
        <v>1361</v>
      </c>
      <c r="X201" s="61" t="s">
        <v>1363</v>
      </c>
    </row>
    <row r="202" spans="1:24" s="54" customFormat="1" ht="15.75" x14ac:dyDescent="0.25">
      <c r="A202" s="26" t="s">
        <v>426</v>
      </c>
      <c r="B202" s="27" t="s">
        <v>1459</v>
      </c>
      <c r="C202" s="27" t="s">
        <v>1336</v>
      </c>
      <c r="D202" s="27" t="s">
        <v>1711</v>
      </c>
      <c r="E202" s="27" t="s">
        <v>1337</v>
      </c>
      <c r="F202" s="27" t="s">
        <v>1338</v>
      </c>
      <c r="G202" s="27" t="s">
        <v>82</v>
      </c>
      <c r="H202" s="27" t="s">
        <v>1338</v>
      </c>
      <c r="I202" s="27" t="s">
        <v>420</v>
      </c>
      <c r="J202" s="27" t="s">
        <v>1339</v>
      </c>
      <c r="K202" s="27" t="s">
        <v>1086</v>
      </c>
      <c r="L202" s="27"/>
      <c r="M202" s="27" t="s">
        <v>666</v>
      </c>
      <c r="N202" s="27" t="s">
        <v>287</v>
      </c>
      <c r="O202" s="27"/>
      <c r="P202" s="27"/>
      <c r="Q202" s="27"/>
      <c r="R202" s="27" t="s">
        <v>733</v>
      </c>
      <c r="S202" s="27"/>
      <c r="T202" s="27"/>
      <c r="U202" s="40"/>
      <c r="V202" s="27"/>
      <c r="W202" s="27"/>
      <c r="X202" s="27"/>
    </row>
    <row r="203" spans="1:24" s="54" customFormat="1" ht="15.75" x14ac:dyDescent="0.25">
      <c r="A203" s="26" t="s">
        <v>426</v>
      </c>
      <c r="B203" s="27" t="s">
        <v>1459</v>
      </c>
      <c r="C203" s="27" t="s">
        <v>1340</v>
      </c>
      <c r="D203" s="27" t="s">
        <v>1712</v>
      </c>
      <c r="E203" s="27" t="s">
        <v>1341</v>
      </c>
      <c r="F203" s="27" t="s">
        <v>322</v>
      </c>
      <c r="G203" s="27" t="s">
        <v>82</v>
      </c>
      <c r="H203" s="27" t="s">
        <v>460</v>
      </c>
      <c r="I203" s="27" t="s">
        <v>420</v>
      </c>
      <c r="J203" s="27" t="s">
        <v>1342</v>
      </c>
      <c r="K203" s="27" t="s">
        <v>1086</v>
      </c>
      <c r="L203" s="27"/>
      <c r="M203" s="27" t="s">
        <v>666</v>
      </c>
      <c r="N203" s="27" t="s">
        <v>287</v>
      </c>
      <c r="O203" s="27"/>
      <c r="P203" s="27"/>
      <c r="Q203" s="27"/>
      <c r="R203" s="27" t="s">
        <v>733</v>
      </c>
      <c r="S203" s="42" t="s">
        <v>1360</v>
      </c>
      <c r="T203" s="47" t="s">
        <v>1362</v>
      </c>
      <c r="U203" s="60">
        <v>2</v>
      </c>
      <c r="V203" s="47" t="s">
        <v>1368</v>
      </c>
      <c r="W203" s="47" t="s">
        <v>1361</v>
      </c>
      <c r="X203" s="47" t="s">
        <v>1363</v>
      </c>
    </row>
    <row r="204" spans="1:24" ht="17.850000000000001" customHeight="1" x14ac:dyDescent="0.25">
      <c r="A204" s="26" t="s">
        <v>426</v>
      </c>
      <c r="B204" s="27" t="s">
        <v>1460</v>
      </c>
      <c r="C204" s="27" t="s">
        <v>330</v>
      </c>
      <c r="D204" s="27" t="s">
        <v>848</v>
      </c>
      <c r="E204" s="27" t="s">
        <v>405</v>
      </c>
      <c r="F204" s="27" t="s">
        <v>336</v>
      </c>
      <c r="G204" s="27" t="s">
        <v>1677</v>
      </c>
      <c r="H204" s="27" t="s">
        <v>462</v>
      </c>
      <c r="I204" s="27" t="s">
        <v>419</v>
      </c>
      <c r="J204" s="27" t="s">
        <v>324</v>
      </c>
      <c r="K204" s="27" t="s">
        <v>287</v>
      </c>
      <c r="M204" s="27" t="s">
        <v>82</v>
      </c>
      <c r="N204" s="27" t="s">
        <v>287</v>
      </c>
      <c r="R204" s="27" t="s">
        <v>733</v>
      </c>
    </row>
    <row r="205" spans="1:24" ht="17.850000000000001" customHeight="1" x14ac:dyDescent="0.25">
      <c r="A205" s="26" t="s">
        <v>426</v>
      </c>
      <c r="B205" s="27" t="s">
        <v>1460</v>
      </c>
      <c r="C205" s="27" t="s">
        <v>331</v>
      </c>
      <c r="D205" s="27" t="s">
        <v>848</v>
      </c>
      <c r="E205" s="27" t="s">
        <v>405</v>
      </c>
      <c r="F205" s="27" t="s">
        <v>337</v>
      </c>
      <c r="G205" s="27" t="s">
        <v>1677</v>
      </c>
      <c r="H205" s="27" t="s">
        <v>462</v>
      </c>
      <c r="I205" s="27" t="s">
        <v>419</v>
      </c>
      <c r="J205" s="27" t="s">
        <v>325</v>
      </c>
      <c r="K205" s="27" t="s">
        <v>287</v>
      </c>
      <c r="M205" s="27" t="s">
        <v>82</v>
      </c>
      <c r="N205" s="27" t="s">
        <v>287</v>
      </c>
      <c r="R205" s="27" t="s">
        <v>733</v>
      </c>
      <c r="S205" s="46" t="s">
        <v>1346</v>
      </c>
      <c r="T205" s="42" t="s">
        <v>1364</v>
      </c>
      <c r="U205" s="43">
        <v>1</v>
      </c>
      <c r="V205" s="42" t="s">
        <v>1347</v>
      </c>
      <c r="W205" s="42" t="s">
        <v>1348</v>
      </c>
      <c r="X205" s="46" t="s">
        <v>1369</v>
      </c>
    </row>
    <row r="206" spans="1:24" ht="17.850000000000001" customHeight="1" x14ac:dyDescent="0.25">
      <c r="A206" s="26" t="s">
        <v>426</v>
      </c>
      <c r="B206" s="27" t="s">
        <v>1460</v>
      </c>
      <c r="C206" s="31" t="s">
        <v>332</v>
      </c>
      <c r="D206" s="27" t="s">
        <v>985</v>
      </c>
      <c r="E206" s="27" t="s">
        <v>652</v>
      </c>
      <c r="F206" s="27" t="s">
        <v>1678</v>
      </c>
      <c r="G206" s="27" t="s">
        <v>1677</v>
      </c>
      <c r="H206" s="27" t="s">
        <v>462</v>
      </c>
      <c r="I206" s="27" t="s">
        <v>419</v>
      </c>
      <c r="J206" s="27" t="s">
        <v>1349</v>
      </c>
      <c r="M206" s="27" t="s">
        <v>82</v>
      </c>
      <c r="N206" s="27" t="s">
        <v>6</v>
      </c>
      <c r="P206" s="27" t="s">
        <v>984</v>
      </c>
      <c r="Q206" s="27">
        <v>1</v>
      </c>
      <c r="R206" s="27" t="s">
        <v>733</v>
      </c>
      <c r="S206" s="46" t="s">
        <v>1346</v>
      </c>
      <c r="T206" s="42" t="s">
        <v>1364</v>
      </c>
      <c r="U206" s="43">
        <v>2</v>
      </c>
      <c r="V206" s="42" t="s">
        <v>1347</v>
      </c>
      <c r="W206" s="42" t="s">
        <v>1348</v>
      </c>
      <c r="X206" s="46" t="s">
        <v>1369</v>
      </c>
    </row>
    <row r="207" spans="1:24" ht="17.850000000000001" customHeight="1" x14ac:dyDescent="0.25">
      <c r="A207" s="26" t="s">
        <v>426</v>
      </c>
      <c r="B207" s="27" t="s">
        <v>1460</v>
      </c>
      <c r="C207" s="31" t="s">
        <v>333</v>
      </c>
      <c r="D207" s="27" t="s">
        <v>985</v>
      </c>
      <c r="E207" s="27" t="s">
        <v>652</v>
      </c>
      <c r="F207" s="27" t="s">
        <v>1679</v>
      </c>
      <c r="G207" s="27" t="s">
        <v>1680</v>
      </c>
      <c r="H207" s="27" t="s">
        <v>462</v>
      </c>
      <c r="I207" s="27" t="s">
        <v>419</v>
      </c>
      <c r="J207" s="27" t="s">
        <v>979</v>
      </c>
      <c r="M207" s="27" t="s">
        <v>82</v>
      </c>
      <c r="N207" s="27" t="s">
        <v>6</v>
      </c>
      <c r="P207" s="27" t="s">
        <v>681</v>
      </c>
      <c r="Q207" s="27">
        <v>1</v>
      </c>
      <c r="R207" s="27" t="s">
        <v>733</v>
      </c>
      <c r="S207" s="46" t="s">
        <v>1346</v>
      </c>
      <c r="T207" s="42" t="s">
        <v>1364</v>
      </c>
      <c r="U207" s="43">
        <v>3</v>
      </c>
      <c r="V207" s="42" t="s">
        <v>1347</v>
      </c>
      <c r="W207" s="42" t="s">
        <v>1348</v>
      </c>
      <c r="X207" s="46" t="s">
        <v>1369</v>
      </c>
    </row>
    <row r="208" spans="1:24" ht="17.850000000000001" customHeight="1" x14ac:dyDescent="0.25">
      <c r="A208" s="26" t="s">
        <v>426</v>
      </c>
      <c r="B208" s="27" t="s">
        <v>1460</v>
      </c>
      <c r="C208" s="31" t="s">
        <v>1398</v>
      </c>
      <c r="D208" s="27" t="s">
        <v>853</v>
      </c>
      <c r="E208" s="27" t="s">
        <v>652</v>
      </c>
      <c r="F208" s="27" t="s">
        <v>1681</v>
      </c>
      <c r="G208" s="27" t="s">
        <v>1682</v>
      </c>
      <c r="H208" s="27" t="s">
        <v>640</v>
      </c>
      <c r="I208" s="27" t="s">
        <v>419</v>
      </c>
      <c r="J208" s="27" t="s">
        <v>1462</v>
      </c>
      <c r="K208" s="27" t="s">
        <v>646</v>
      </c>
      <c r="M208" s="27" t="s">
        <v>82</v>
      </c>
      <c r="N208" s="27" t="s">
        <v>6</v>
      </c>
      <c r="P208" s="27" t="s">
        <v>682</v>
      </c>
      <c r="Q208" s="27">
        <v>1</v>
      </c>
      <c r="R208" s="27" t="s">
        <v>733</v>
      </c>
      <c r="S208" s="46" t="s">
        <v>1346</v>
      </c>
      <c r="T208" s="42" t="s">
        <v>1356</v>
      </c>
      <c r="U208" s="60">
        <v>1</v>
      </c>
      <c r="V208" s="47" t="s">
        <v>1347</v>
      </c>
      <c r="W208" s="47" t="s">
        <v>1348</v>
      </c>
      <c r="X208" s="61" t="s">
        <v>1365</v>
      </c>
    </row>
    <row r="209" spans="1:24" ht="17.850000000000001" customHeight="1" x14ac:dyDescent="0.25">
      <c r="A209" s="26" t="s">
        <v>426</v>
      </c>
      <c r="B209" s="27" t="s">
        <v>1460</v>
      </c>
      <c r="C209" s="31" t="s">
        <v>1399</v>
      </c>
      <c r="D209" s="27" t="s">
        <v>853</v>
      </c>
      <c r="E209" s="27" t="s">
        <v>652</v>
      </c>
      <c r="F209" s="27" t="s">
        <v>1683</v>
      </c>
      <c r="G209" s="27" t="s">
        <v>1682</v>
      </c>
      <c r="H209" s="27" t="s">
        <v>640</v>
      </c>
      <c r="I209" s="27" t="s">
        <v>419</v>
      </c>
      <c r="J209" s="27" t="s">
        <v>1463</v>
      </c>
      <c r="K209" s="27" t="s">
        <v>653</v>
      </c>
      <c r="M209" s="27" t="s">
        <v>82</v>
      </c>
      <c r="N209" s="27" t="s">
        <v>6</v>
      </c>
      <c r="P209" s="27" t="s">
        <v>840</v>
      </c>
      <c r="Q209" s="27">
        <v>1</v>
      </c>
      <c r="R209" s="27" t="s">
        <v>733</v>
      </c>
      <c r="S209" s="46" t="s">
        <v>1346</v>
      </c>
      <c r="T209" s="42" t="s">
        <v>1356</v>
      </c>
      <c r="U209" s="60">
        <v>2</v>
      </c>
      <c r="V209" s="47" t="s">
        <v>1347</v>
      </c>
      <c r="W209" s="47" t="s">
        <v>1348</v>
      </c>
      <c r="X209" s="61" t="s">
        <v>1365</v>
      </c>
    </row>
    <row r="210" spans="1:24" ht="17.850000000000001" customHeight="1" x14ac:dyDescent="0.25">
      <c r="A210" s="26" t="s">
        <v>426</v>
      </c>
      <c r="B210" s="27" t="s">
        <v>1460</v>
      </c>
      <c r="C210" s="31" t="s">
        <v>1400</v>
      </c>
      <c r="D210" s="27" t="s">
        <v>853</v>
      </c>
      <c r="E210" s="27" t="s">
        <v>652</v>
      </c>
      <c r="F210" s="27" t="s">
        <v>1684</v>
      </c>
      <c r="G210" s="27" t="s">
        <v>1682</v>
      </c>
      <c r="H210" s="27" t="s">
        <v>841</v>
      </c>
      <c r="I210" s="27" t="s">
        <v>419</v>
      </c>
      <c r="J210" s="27" t="s">
        <v>1464</v>
      </c>
      <c r="K210" s="27" t="s">
        <v>648</v>
      </c>
      <c r="M210" s="27" t="s">
        <v>82</v>
      </c>
      <c r="N210" s="27" t="s">
        <v>6</v>
      </c>
      <c r="P210" s="27" t="s">
        <v>842</v>
      </c>
      <c r="Q210" s="27">
        <v>1</v>
      </c>
      <c r="R210" s="27" t="s">
        <v>733</v>
      </c>
      <c r="S210" s="46" t="s">
        <v>1346</v>
      </c>
      <c r="T210" s="42" t="s">
        <v>1356</v>
      </c>
      <c r="U210" s="60">
        <v>3</v>
      </c>
      <c r="V210" s="47" t="s">
        <v>1347</v>
      </c>
      <c r="W210" s="47" t="s">
        <v>1348</v>
      </c>
      <c r="X210" s="61" t="s">
        <v>1365</v>
      </c>
    </row>
    <row r="211" spans="1:24" s="31" customFormat="1" ht="17.850000000000001" customHeight="1" x14ac:dyDescent="0.25">
      <c r="A211" s="32" t="s">
        <v>426</v>
      </c>
      <c r="B211" s="27" t="s">
        <v>1460</v>
      </c>
      <c r="C211" s="31" t="s">
        <v>907</v>
      </c>
      <c r="D211" s="31" t="s">
        <v>862</v>
      </c>
      <c r="E211" s="31" t="s">
        <v>858</v>
      </c>
      <c r="F211" s="31" t="s">
        <v>859</v>
      </c>
      <c r="G211" s="31" t="s">
        <v>1685</v>
      </c>
      <c r="H211" s="31" t="s">
        <v>860</v>
      </c>
      <c r="I211" s="31" t="s">
        <v>419</v>
      </c>
      <c r="J211" s="31" t="s">
        <v>861</v>
      </c>
      <c r="K211" s="31" t="s">
        <v>648</v>
      </c>
      <c r="M211" s="31" t="s">
        <v>82</v>
      </c>
      <c r="N211" s="31" t="s">
        <v>6</v>
      </c>
      <c r="P211" s="31" t="s">
        <v>980</v>
      </c>
      <c r="Q211" s="31">
        <v>1</v>
      </c>
      <c r="R211" s="31" t="s">
        <v>733</v>
      </c>
      <c r="S211" s="27"/>
      <c r="T211" s="27"/>
      <c r="U211" s="40"/>
      <c r="V211" s="27"/>
      <c r="W211" s="27"/>
      <c r="X211" s="27"/>
    </row>
    <row r="212" spans="1:24" ht="17.850000000000001" customHeight="1" x14ac:dyDescent="0.25">
      <c r="A212" s="26" t="s">
        <v>426</v>
      </c>
      <c r="B212" s="27" t="s">
        <v>1460</v>
      </c>
      <c r="C212" s="27" t="s">
        <v>783</v>
      </c>
      <c r="D212" s="27" t="s">
        <v>784</v>
      </c>
      <c r="E212" s="27" t="s">
        <v>785</v>
      </c>
      <c r="F212" s="27" t="s">
        <v>786</v>
      </c>
      <c r="G212" s="27" t="s">
        <v>787</v>
      </c>
      <c r="H212" s="27" t="s">
        <v>786</v>
      </c>
      <c r="I212" s="27" t="s">
        <v>419</v>
      </c>
      <c r="J212" s="27" t="s">
        <v>788</v>
      </c>
      <c r="K212" s="27" t="s">
        <v>287</v>
      </c>
      <c r="M212" s="27" t="s">
        <v>82</v>
      </c>
      <c r="N212" s="27" t="s">
        <v>287</v>
      </c>
      <c r="R212" s="27" t="s">
        <v>733</v>
      </c>
      <c r="S212" s="46" t="s">
        <v>1346</v>
      </c>
      <c r="T212" s="42" t="s">
        <v>1364</v>
      </c>
      <c r="U212" s="43">
        <v>4</v>
      </c>
      <c r="V212" s="42" t="s">
        <v>1347</v>
      </c>
      <c r="W212" s="42" t="s">
        <v>1348</v>
      </c>
      <c r="X212" s="46" t="s">
        <v>1370</v>
      </c>
    </row>
    <row r="213" spans="1:24" ht="17.850000000000001" customHeight="1" x14ac:dyDescent="0.25">
      <c r="A213" s="26" t="s">
        <v>426</v>
      </c>
      <c r="B213" s="27" t="s">
        <v>1460</v>
      </c>
      <c r="C213" s="27" t="s">
        <v>789</v>
      </c>
      <c r="D213" s="27" t="s">
        <v>790</v>
      </c>
      <c r="E213" s="27" t="s">
        <v>791</v>
      </c>
      <c r="F213" s="27" t="s">
        <v>1366</v>
      </c>
      <c r="G213" s="27" t="s">
        <v>792</v>
      </c>
      <c r="H213" s="27" t="s">
        <v>786</v>
      </c>
      <c r="I213" s="27" t="s">
        <v>419</v>
      </c>
      <c r="J213" s="27" t="s">
        <v>793</v>
      </c>
      <c r="K213" s="27" t="s">
        <v>1367</v>
      </c>
      <c r="M213" s="27" t="s">
        <v>82</v>
      </c>
      <c r="N213" s="27" t="s">
        <v>6</v>
      </c>
      <c r="R213" s="27" t="s">
        <v>733</v>
      </c>
      <c r="S213" s="46" t="s">
        <v>1346</v>
      </c>
      <c r="T213" s="42" t="s">
        <v>1364</v>
      </c>
      <c r="U213" s="43">
        <v>5</v>
      </c>
      <c r="V213" s="42" t="s">
        <v>1347</v>
      </c>
      <c r="W213" s="42" t="s">
        <v>1348</v>
      </c>
      <c r="X213" s="46" t="s">
        <v>1370</v>
      </c>
    </row>
    <row r="214" spans="1:24" ht="17.850000000000001" customHeight="1" x14ac:dyDescent="0.25">
      <c r="A214" s="26" t="s">
        <v>426</v>
      </c>
      <c r="B214" s="27" t="s">
        <v>1460</v>
      </c>
      <c r="C214" s="27" t="s">
        <v>334</v>
      </c>
      <c r="D214" s="27" t="s">
        <v>1713</v>
      </c>
      <c r="E214" s="27" t="s">
        <v>406</v>
      </c>
      <c r="F214" s="27" t="s">
        <v>470</v>
      </c>
      <c r="G214" s="27" t="s">
        <v>1686</v>
      </c>
      <c r="H214" s="27" t="s">
        <v>470</v>
      </c>
      <c r="I214" s="27" t="s">
        <v>419</v>
      </c>
      <c r="J214" s="27" t="s">
        <v>326</v>
      </c>
      <c r="K214" s="27" t="s">
        <v>287</v>
      </c>
      <c r="M214" s="27" t="s">
        <v>82</v>
      </c>
      <c r="N214" s="27" t="s">
        <v>287</v>
      </c>
      <c r="R214" s="27" t="s">
        <v>733</v>
      </c>
    </row>
    <row r="215" spans="1:24" ht="17.850000000000001" customHeight="1" x14ac:dyDescent="0.25">
      <c r="A215" s="26" t="s">
        <v>426</v>
      </c>
      <c r="B215" s="27" t="s">
        <v>1460</v>
      </c>
      <c r="C215" s="27" t="s">
        <v>843</v>
      </c>
      <c r="D215" s="27" t="s">
        <v>1713</v>
      </c>
      <c r="E215" s="27" t="s">
        <v>406</v>
      </c>
      <c r="F215" s="27" t="s">
        <v>338</v>
      </c>
      <c r="G215" s="27" t="s">
        <v>1686</v>
      </c>
      <c r="H215" s="27" t="s">
        <v>470</v>
      </c>
      <c r="I215" s="27" t="s">
        <v>419</v>
      </c>
      <c r="J215" s="27" t="s">
        <v>327</v>
      </c>
      <c r="K215" s="27" t="s">
        <v>287</v>
      </c>
      <c r="M215" s="27" t="s">
        <v>82</v>
      </c>
      <c r="N215" s="27" t="s">
        <v>287</v>
      </c>
      <c r="R215" s="27" t="s">
        <v>733</v>
      </c>
    </row>
    <row r="216" spans="1:24" ht="17.850000000000001" customHeight="1" x14ac:dyDescent="0.25">
      <c r="A216" s="26" t="s">
        <v>426</v>
      </c>
      <c r="B216" s="27" t="s">
        <v>1460</v>
      </c>
      <c r="C216" s="27" t="s">
        <v>335</v>
      </c>
      <c r="D216" s="27" t="s">
        <v>727</v>
      </c>
      <c r="E216" s="27" t="s">
        <v>406</v>
      </c>
      <c r="F216" s="27" t="s">
        <v>339</v>
      </c>
      <c r="G216" s="27" t="s">
        <v>1686</v>
      </c>
      <c r="H216" s="27" t="s">
        <v>470</v>
      </c>
      <c r="I216" s="27" t="s">
        <v>419</v>
      </c>
      <c r="J216" s="27" t="s">
        <v>328</v>
      </c>
      <c r="M216" s="27" t="s">
        <v>82</v>
      </c>
      <c r="N216" s="27" t="s">
        <v>6</v>
      </c>
      <c r="R216" s="27" t="s">
        <v>733</v>
      </c>
      <c r="S216" s="46" t="s">
        <v>1374</v>
      </c>
      <c r="T216" s="42" t="s">
        <v>1371</v>
      </c>
      <c r="U216" s="43">
        <v>1</v>
      </c>
      <c r="V216" s="42" t="s">
        <v>1113</v>
      </c>
      <c r="W216" s="49" t="s">
        <v>1407</v>
      </c>
      <c r="X216" s="47" t="s">
        <v>1350</v>
      </c>
    </row>
    <row r="217" spans="1:24" ht="17.850000000000001" customHeight="1" x14ac:dyDescent="0.25">
      <c r="A217" s="26" t="s">
        <v>426</v>
      </c>
      <c r="B217" s="27" t="s">
        <v>1460</v>
      </c>
      <c r="C217" s="27" t="s">
        <v>844</v>
      </c>
      <c r="D217" s="27" t="s">
        <v>727</v>
      </c>
      <c r="E217" s="27" t="s">
        <v>406</v>
      </c>
      <c r="F217" s="27" t="s">
        <v>340</v>
      </c>
      <c r="G217" s="27" t="s">
        <v>1686</v>
      </c>
      <c r="H217" s="27" t="s">
        <v>470</v>
      </c>
      <c r="I217" s="27" t="s">
        <v>419</v>
      </c>
      <c r="J217" s="27" t="s">
        <v>329</v>
      </c>
      <c r="M217" s="27" t="s">
        <v>82</v>
      </c>
      <c r="N217" s="27" t="s">
        <v>6</v>
      </c>
      <c r="R217" s="27" t="s">
        <v>733</v>
      </c>
      <c r="S217" s="46" t="s">
        <v>1374</v>
      </c>
      <c r="T217" s="42" t="s">
        <v>1371</v>
      </c>
      <c r="U217" s="43">
        <v>2</v>
      </c>
      <c r="V217" s="42" t="s">
        <v>1113</v>
      </c>
      <c r="W217" s="49" t="s">
        <v>1407</v>
      </c>
      <c r="X217" s="47" t="s">
        <v>1350</v>
      </c>
    </row>
    <row r="218" spans="1:24" ht="17.850000000000001" customHeight="1" x14ac:dyDescent="0.25">
      <c r="A218" s="26" t="s">
        <v>426</v>
      </c>
      <c r="B218" s="27" t="s">
        <v>1460</v>
      </c>
      <c r="C218" s="27" t="s">
        <v>934</v>
      </c>
      <c r="D218" s="27" t="s">
        <v>727</v>
      </c>
      <c r="E218" s="28" t="s">
        <v>1377</v>
      </c>
      <c r="F218" s="27" t="s">
        <v>1696</v>
      </c>
      <c r="G218" s="27" t="s">
        <v>1686</v>
      </c>
      <c r="H218" s="27" t="s">
        <v>1378</v>
      </c>
      <c r="I218" s="27" t="s">
        <v>419</v>
      </c>
      <c r="J218" s="27" t="s">
        <v>854</v>
      </c>
      <c r="M218" s="27" t="s">
        <v>82</v>
      </c>
      <c r="N218" s="27" t="s">
        <v>6</v>
      </c>
      <c r="P218" s="27" t="s">
        <v>981</v>
      </c>
      <c r="Q218" s="27">
        <v>1</v>
      </c>
      <c r="R218" s="27" t="s">
        <v>733</v>
      </c>
      <c r="S218" s="46" t="s">
        <v>1374</v>
      </c>
      <c r="T218" s="42" t="s">
        <v>1371</v>
      </c>
      <c r="U218" s="43">
        <v>3</v>
      </c>
      <c r="V218" s="42" t="s">
        <v>1113</v>
      </c>
      <c r="W218" s="49" t="s">
        <v>1373</v>
      </c>
      <c r="X218" s="47" t="s">
        <v>1350</v>
      </c>
    </row>
    <row r="219" spans="1:24" ht="17.850000000000001" customHeight="1" x14ac:dyDescent="0.25">
      <c r="A219" s="26" t="s">
        <v>426</v>
      </c>
      <c r="B219" s="27" t="s">
        <v>1460</v>
      </c>
      <c r="C219" s="27" t="s">
        <v>845</v>
      </c>
      <c r="D219" s="27" t="s">
        <v>727</v>
      </c>
      <c r="E219" s="28" t="s">
        <v>1377</v>
      </c>
      <c r="F219" s="27" t="s">
        <v>1697</v>
      </c>
      <c r="G219" s="27" t="s">
        <v>1686</v>
      </c>
      <c r="H219" s="27" t="s">
        <v>1378</v>
      </c>
      <c r="I219" s="27" t="s">
        <v>419</v>
      </c>
      <c r="J219" s="27" t="s">
        <v>855</v>
      </c>
      <c r="M219" s="27" t="s">
        <v>82</v>
      </c>
      <c r="N219" s="27" t="s">
        <v>6</v>
      </c>
      <c r="R219" s="27" t="s">
        <v>733</v>
      </c>
      <c r="S219" s="46" t="s">
        <v>1374</v>
      </c>
      <c r="T219" s="42" t="s">
        <v>1371</v>
      </c>
      <c r="U219" s="43">
        <v>4</v>
      </c>
      <c r="V219" s="42" t="s">
        <v>1113</v>
      </c>
      <c r="W219" s="49" t="s">
        <v>1407</v>
      </c>
      <c r="X219" s="47" t="s">
        <v>1350</v>
      </c>
    </row>
    <row r="220" spans="1:24" ht="17.850000000000001" customHeight="1" x14ac:dyDescent="0.25">
      <c r="A220" s="26" t="s">
        <v>426</v>
      </c>
      <c r="B220" s="27" t="s">
        <v>1460</v>
      </c>
      <c r="C220" s="31" t="s">
        <v>1395</v>
      </c>
      <c r="D220" s="27" t="s">
        <v>1375</v>
      </c>
      <c r="E220" s="28" t="s">
        <v>1376</v>
      </c>
      <c r="F220" s="27" t="s">
        <v>1687</v>
      </c>
      <c r="G220" s="27" t="s">
        <v>1688</v>
      </c>
      <c r="H220" s="27" t="s">
        <v>1393</v>
      </c>
      <c r="I220" s="27" t="s">
        <v>419</v>
      </c>
      <c r="J220" s="27" t="s">
        <v>1390</v>
      </c>
      <c r="K220" s="27" t="s">
        <v>647</v>
      </c>
      <c r="M220" s="27" t="s">
        <v>82</v>
      </c>
      <c r="N220" s="27" t="s">
        <v>6</v>
      </c>
      <c r="R220" s="27" t="s">
        <v>733</v>
      </c>
      <c r="S220" s="46" t="s">
        <v>1374</v>
      </c>
      <c r="T220" s="42" t="s">
        <v>1371</v>
      </c>
      <c r="U220" s="43">
        <v>5</v>
      </c>
      <c r="V220" s="42" t="s">
        <v>1113</v>
      </c>
      <c r="W220" s="49" t="s">
        <v>1373</v>
      </c>
      <c r="X220" s="47" t="s">
        <v>1350</v>
      </c>
    </row>
    <row r="221" spans="1:24" ht="17.850000000000001" customHeight="1" x14ac:dyDescent="0.25">
      <c r="A221" s="26" t="s">
        <v>426</v>
      </c>
      <c r="B221" s="27" t="s">
        <v>1460</v>
      </c>
      <c r="C221" s="31" t="s">
        <v>1396</v>
      </c>
      <c r="D221" s="27" t="s">
        <v>1375</v>
      </c>
      <c r="E221" s="28" t="s">
        <v>1376</v>
      </c>
      <c r="F221" s="27" t="s">
        <v>1689</v>
      </c>
      <c r="G221" s="27" t="s">
        <v>1688</v>
      </c>
      <c r="H221" s="27" t="s">
        <v>1393</v>
      </c>
      <c r="I221" s="27" t="s">
        <v>419</v>
      </c>
      <c r="J221" s="27" t="s">
        <v>1391</v>
      </c>
      <c r="K221" s="27" t="s">
        <v>653</v>
      </c>
      <c r="M221" s="27" t="s">
        <v>82</v>
      </c>
      <c r="N221" s="27" t="s">
        <v>6</v>
      </c>
      <c r="R221" s="27" t="s">
        <v>733</v>
      </c>
      <c r="S221" s="46" t="s">
        <v>1374</v>
      </c>
      <c r="T221" s="42" t="s">
        <v>1371</v>
      </c>
      <c r="U221" s="43">
        <v>6</v>
      </c>
      <c r="V221" s="42" t="s">
        <v>1113</v>
      </c>
      <c r="W221" s="49" t="s">
        <v>1373</v>
      </c>
      <c r="X221" s="47" t="s">
        <v>1350</v>
      </c>
    </row>
    <row r="222" spans="1:24" ht="17.850000000000001" customHeight="1" x14ac:dyDescent="0.25">
      <c r="A222" s="26" t="s">
        <v>426</v>
      </c>
      <c r="B222" s="27" t="s">
        <v>1460</v>
      </c>
      <c r="C222" s="31" t="s">
        <v>1397</v>
      </c>
      <c r="D222" s="27" t="s">
        <v>1375</v>
      </c>
      <c r="E222" s="28" t="s">
        <v>1376</v>
      </c>
      <c r="F222" s="27" t="s">
        <v>1394</v>
      </c>
      <c r="G222" s="27" t="s">
        <v>1688</v>
      </c>
      <c r="H222" s="27" t="s">
        <v>1393</v>
      </c>
      <c r="I222" s="27" t="s">
        <v>419</v>
      </c>
      <c r="J222" s="27" t="s">
        <v>1392</v>
      </c>
      <c r="K222" s="27" t="s">
        <v>648</v>
      </c>
      <c r="M222" s="27" t="s">
        <v>82</v>
      </c>
      <c r="N222" s="27" t="s">
        <v>6</v>
      </c>
      <c r="R222" s="27" t="s">
        <v>733</v>
      </c>
      <c r="S222" s="46" t="s">
        <v>1374</v>
      </c>
      <c r="T222" s="42" t="s">
        <v>1371</v>
      </c>
      <c r="U222" s="43">
        <v>7</v>
      </c>
      <c r="V222" s="42" t="s">
        <v>1113</v>
      </c>
      <c r="W222" s="49" t="s">
        <v>1373</v>
      </c>
      <c r="X222" s="47" t="s">
        <v>1350</v>
      </c>
    </row>
    <row r="223" spans="1:24" ht="17.850000000000001" customHeight="1" x14ac:dyDescent="0.25">
      <c r="A223" s="26" t="s">
        <v>426</v>
      </c>
      <c r="B223" s="27" t="s">
        <v>1460</v>
      </c>
      <c r="C223" s="27" t="s">
        <v>794</v>
      </c>
      <c r="D223" s="27" t="s">
        <v>982</v>
      </c>
      <c r="E223" s="27" t="s">
        <v>795</v>
      </c>
      <c r="F223" s="27" t="s">
        <v>796</v>
      </c>
      <c r="G223" s="27" t="s">
        <v>797</v>
      </c>
      <c r="H223" s="27" t="s">
        <v>701</v>
      </c>
      <c r="I223" s="27" t="s">
        <v>419</v>
      </c>
      <c r="J223" s="27" t="s">
        <v>798</v>
      </c>
      <c r="K223" s="27" t="s">
        <v>287</v>
      </c>
      <c r="M223" s="27" t="s">
        <v>82</v>
      </c>
      <c r="N223" s="27" t="s">
        <v>287</v>
      </c>
      <c r="R223" s="27" t="s">
        <v>733</v>
      </c>
      <c r="U223" s="40"/>
    </row>
    <row r="224" spans="1:24" ht="17.850000000000001" customHeight="1" x14ac:dyDescent="0.25">
      <c r="A224" s="26" t="s">
        <v>426</v>
      </c>
      <c r="B224" s="27" t="s">
        <v>1460</v>
      </c>
      <c r="C224" s="27" t="s">
        <v>799</v>
      </c>
      <c r="D224" s="27" t="s">
        <v>982</v>
      </c>
      <c r="E224" s="27" t="s">
        <v>795</v>
      </c>
      <c r="F224" s="27" t="s">
        <v>800</v>
      </c>
      <c r="G224" s="27" t="s">
        <v>801</v>
      </c>
      <c r="H224" s="27" t="s">
        <v>701</v>
      </c>
      <c r="I224" s="27" t="s">
        <v>419</v>
      </c>
      <c r="J224" s="27" t="s">
        <v>802</v>
      </c>
      <c r="K224" s="27" t="s">
        <v>287</v>
      </c>
      <c r="M224" s="27" t="s">
        <v>82</v>
      </c>
      <c r="N224" s="27" t="s">
        <v>287</v>
      </c>
      <c r="R224" s="27" t="s">
        <v>733</v>
      </c>
      <c r="S224" s="46" t="s">
        <v>1374</v>
      </c>
      <c r="T224" s="45" t="s">
        <v>1401</v>
      </c>
      <c r="U224" s="43">
        <v>1</v>
      </c>
      <c r="V224" s="42" t="s">
        <v>1113</v>
      </c>
      <c r="W224" s="49" t="s">
        <v>1373</v>
      </c>
      <c r="X224" s="47" t="s">
        <v>1402</v>
      </c>
    </row>
    <row r="225" spans="1:24" ht="17.850000000000001" customHeight="1" x14ac:dyDescent="0.25">
      <c r="A225" s="26" t="s">
        <v>426</v>
      </c>
      <c r="B225" s="27" t="s">
        <v>1460</v>
      </c>
      <c r="C225" s="27" t="s">
        <v>803</v>
      </c>
      <c r="D225" s="27" t="s">
        <v>982</v>
      </c>
      <c r="E225" s="27" t="s">
        <v>795</v>
      </c>
      <c r="F225" s="27" t="s">
        <v>804</v>
      </c>
      <c r="G225" s="27" t="s">
        <v>797</v>
      </c>
      <c r="H225" s="27" t="s">
        <v>805</v>
      </c>
      <c r="I225" s="27" t="s">
        <v>419</v>
      </c>
      <c r="J225" s="27" t="s">
        <v>806</v>
      </c>
      <c r="M225" s="27" t="s">
        <v>807</v>
      </c>
      <c r="N225" s="27" t="s">
        <v>6</v>
      </c>
      <c r="R225" s="27" t="s">
        <v>733</v>
      </c>
      <c r="S225" s="46" t="s">
        <v>1374</v>
      </c>
      <c r="T225" s="45" t="s">
        <v>1401</v>
      </c>
      <c r="U225" s="43">
        <v>2</v>
      </c>
      <c r="V225" s="42" t="s">
        <v>1113</v>
      </c>
      <c r="W225" s="49" t="s">
        <v>1373</v>
      </c>
      <c r="X225" s="47" t="s">
        <v>1402</v>
      </c>
    </row>
    <row r="226" spans="1:24" ht="17.850000000000001" customHeight="1" x14ac:dyDescent="0.25">
      <c r="A226" s="26" t="s">
        <v>426</v>
      </c>
      <c r="B226" s="27" t="s">
        <v>1460</v>
      </c>
      <c r="C226" s="27" t="s">
        <v>808</v>
      </c>
      <c r="D226" s="27" t="s">
        <v>982</v>
      </c>
      <c r="E226" s="27" t="s">
        <v>795</v>
      </c>
      <c r="F226" s="27" t="s">
        <v>809</v>
      </c>
      <c r="G226" s="27" t="s">
        <v>797</v>
      </c>
      <c r="H226" s="27" t="s">
        <v>805</v>
      </c>
      <c r="I226" s="27" t="s">
        <v>419</v>
      </c>
      <c r="J226" s="27" t="s">
        <v>810</v>
      </c>
      <c r="M226" s="27" t="s">
        <v>665</v>
      </c>
      <c r="N226" s="27" t="s">
        <v>6</v>
      </c>
      <c r="R226" s="27" t="s">
        <v>733</v>
      </c>
      <c r="S226" s="46" t="s">
        <v>1374</v>
      </c>
      <c r="T226" s="45" t="s">
        <v>1401</v>
      </c>
      <c r="U226" s="43">
        <v>3</v>
      </c>
      <c r="V226" s="42" t="s">
        <v>1113</v>
      </c>
      <c r="W226" s="49" t="s">
        <v>1373</v>
      </c>
      <c r="X226" s="47" t="s">
        <v>1402</v>
      </c>
    </row>
    <row r="227" spans="1:24" ht="17.850000000000001" customHeight="1" x14ac:dyDescent="0.25">
      <c r="A227" s="26" t="s">
        <v>426</v>
      </c>
      <c r="B227" s="27" t="s">
        <v>1460</v>
      </c>
      <c r="C227" s="27" t="s">
        <v>811</v>
      </c>
      <c r="D227" s="27" t="s">
        <v>1352</v>
      </c>
      <c r="E227" s="27" t="s">
        <v>812</v>
      </c>
      <c r="F227" s="27" t="s">
        <v>813</v>
      </c>
      <c r="G227" s="27" t="s">
        <v>814</v>
      </c>
      <c r="H227" s="27" t="s">
        <v>704</v>
      </c>
      <c r="I227" s="27" t="s">
        <v>419</v>
      </c>
      <c r="J227" s="27" t="s">
        <v>815</v>
      </c>
      <c r="K227" s="27" t="s">
        <v>287</v>
      </c>
      <c r="M227" s="27" t="s">
        <v>82</v>
      </c>
      <c r="N227" s="27" t="s">
        <v>287</v>
      </c>
      <c r="R227" s="27" t="s">
        <v>733</v>
      </c>
      <c r="U227" s="40"/>
    </row>
    <row r="228" spans="1:24" ht="17.850000000000001" customHeight="1" x14ac:dyDescent="0.25">
      <c r="A228" s="26" t="s">
        <v>426</v>
      </c>
      <c r="B228" s="27" t="s">
        <v>1460</v>
      </c>
      <c r="C228" s="27" t="s">
        <v>816</v>
      </c>
      <c r="D228" s="27" t="s">
        <v>1352</v>
      </c>
      <c r="E228" s="27" t="s">
        <v>812</v>
      </c>
      <c r="F228" s="27" t="s">
        <v>817</v>
      </c>
      <c r="G228" s="27" t="s">
        <v>818</v>
      </c>
      <c r="H228" s="27" t="s">
        <v>704</v>
      </c>
      <c r="I228" s="27" t="s">
        <v>419</v>
      </c>
      <c r="J228" s="27" t="s">
        <v>819</v>
      </c>
      <c r="K228" s="27" t="s">
        <v>287</v>
      </c>
      <c r="M228" s="27" t="s">
        <v>82</v>
      </c>
      <c r="N228" s="27" t="s">
        <v>287</v>
      </c>
      <c r="R228" s="27" t="s">
        <v>733</v>
      </c>
      <c r="S228" s="46" t="s">
        <v>1374</v>
      </c>
      <c r="T228" s="45" t="s">
        <v>1403</v>
      </c>
      <c r="U228" s="43">
        <v>1</v>
      </c>
      <c r="V228" s="42" t="s">
        <v>1113</v>
      </c>
      <c r="W228" s="49" t="s">
        <v>1373</v>
      </c>
      <c r="X228" s="47" t="s">
        <v>1404</v>
      </c>
    </row>
    <row r="229" spans="1:24" ht="17.850000000000001" customHeight="1" x14ac:dyDescent="0.25">
      <c r="A229" s="26" t="s">
        <v>426</v>
      </c>
      <c r="B229" s="27" t="s">
        <v>1460</v>
      </c>
      <c r="C229" s="27" t="s">
        <v>820</v>
      </c>
      <c r="D229" s="27" t="s">
        <v>1352</v>
      </c>
      <c r="E229" s="27" t="s">
        <v>812</v>
      </c>
      <c r="F229" s="27" t="s">
        <v>821</v>
      </c>
      <c r="G229" s="27" t="s">
        <v>814</v>
      </c>
      <c r="H229" s="27" t="s">
        <v>704</v>
      </c>
      <c r="I229" s="27" t="s">
        <v>419</v>
      </c>
      <c r="J229" s="27" t="s">
        <v>822</v>
      </c>
      <c r="M229" s="27" t="s">
        <v>82</v>
      </c>
      <c r="N229" s="27" t="s">
        <v>6</v>
      </c>
      <c r="R229" s="27" t="s">
        <v>733</v>
      </c>
      <c r="S229" s="46" t="s">
        <v>1374</v>
      </c>
      <c r="T229" s="45" t="s">
        <v>1403</v>
      </c>
      <c r="U229" s="43">
        <v>2</v>
      </c>
      <c r="V229" s="42" t="s">
        <v>1113</v>
      </c>
      <c r="W229" s="49" t="s">
        <v>1373</v>
      </c>
      <c r="X229" s="47" t="s">
        <v>1404</v>
      </c>
    </row>
    <row r="230" spans="1:24" ht="17.850000000000001" customHeight="1" x14ac:dyDescent="0.25">
      <c r="A230" s="26" t="s">
        <v>426</v>
      </c>
      <c r="B230" s="27" t="s">
        <v>1460</v>
      </c>
      <c r="C230" s="27" t="s">
        <v>823</v>
      </c>
      <c r="D230" s="27" t="s">
        <v>1352</v>
      </c>
      <c r="E230" s="27" t="s">
        <v>812</v>
      </c>
      <c r="F230" s="27" t="s">
        <v>824</v>
      </c>
      <c r="G230" s="27" t="s">
        <v>814</v>
      </c>
      <c r="H230" s="27" t="s">
        <v>704</v>
      </c>
      <c r="I230" s="27" t="s">
        <v>419</v>
      </c>
      <c r="J230" s="27" t="s">
        <v>825</v>
      </c>
      <c r="M230" s="27" t="s">
        <v>82</v>
      </c>
      <c r="N230" s="27" t="s">
        <v>6</v>
      </c>
      <c r="R230" s="27" t="s">
        <v>733</v>
      </c>
      <c r="S230" s="46" t="s">
        <v>1374</v>
      </c>
      <c r="T230" s="45" t="s">
        <v>1403</v>
      </c>
      <c r="U230" s="43">
        <v>3</v>
      </c>
      <c r="V230" s="42" t="s">
        <v>1113</v>
      </c>
      <c r="W230" s="49" t="s">
        <v>1373</v>
      </c>
      <c r="X230" s="47" t="s">
        <v>1404</v>
      </c>
    </row>
    <row r="231" spans="1:24" ht="17.850000000000001" customHeight="1" x14ac:dyDescent="0.25">
      <c r="A231" s="26" t="s">
        <v>426</v>
      </c>
      <c r="B231" s="27" t="s">
        <v>1460</v>
      </c>
      <c r="C231" s="27" t="s">
        <v>826</v>
      </c>
      <c r="D231" s="27" t="s">
        <v>827</v>
      </c>
      <c r="E231" s="27" t="s">
        <v>828</v>
      </c>
      <c r="F231" s="27" t="s">
        <v>829</v>
      </c>
      <c r="G231" s="27" t="s">
        <v>1690</v>
      </c>
      <c r="H231" s="27" t="s">
        <v>1405</v>
      </c>
      <c r="I231" s="27" t="s">
        <v>419</v>
      </c>
      <c r="J231" s="27" t="s">
        <v>830</v>
      </c>
      <c r="K231" s="27" t="s">
        <v>287</v>
      </c>
      <c r="M231" s="27" t="s">
        <v>82</v>
      </c>
      <c r="N231" s="27" t="s">
        <v>287</v>
      </c>
      <c r="R231" s="27" t="s">
        <v>733</v>
      </c>
      <c r="U231" s="40"/>
    </row>
    <row r="232" spans="1:24" ht="17.850000000000001" customHeight="1" x14ac:dyDescent="0.25">
      <c r="A232" s="26" t="s">
        <v>426</v>
      </c>
      <c r="B232" s="27" t="s">
        <v>1460</v>
      </c>
      <c r="C232" s="27" t="s">
        <v>831</v>
      </c>
      <c r="D232" s="27" t="s">
        <v>827</v>
      </c>
      <c r="E232" s="27" t="s">
        <v>828</v>
      </c>
      <c r="F232" s="27" t="s">
        <v>832</v>
      </c>
      <c r="G232" s="27" t="s">
        <v>1691</v>
      </c>
      <c r="H232" s="27" t="s">
        <v>1405</v>
      </c>
      <c r="I232" s="27" t="s">
        <v>419</v>
      </c>
      <c r="J232" s="27" t="s">
        <v>833</v>
      </c>
      <c r="K232" s="27" t="s">
        <v>287</v>
      </c>
      <c r="M232" s="27" t="s">
        <v>82</v>
      </c>
      <c r="N232" s="27" t="s">
        <v>287</v>
      </c>
      <c r="R232" s="27" t="s">
        <v>733</v>
      </c>
      <c r="S232" s="46" t="s">
        <v>1374</v>
      </c>
      <c r="T232" s="45" t="s">
        <v>1351</v>
      </c>
      <c r="U232" s="43">
        <v>1</v>
      </c>
      <c r="V232" s="42" t="s">
        <v>1113</v>
      </c>
      <c r="W232" s="49" t="s">
        <v>1373</v>
      </c>
      <c r="X232" s="47" t="s">
        <v>1406</v>
      </c>
    </row>
    <row r="233" spans="1:24" ht="17.850000000000001" customHeight="1" x14ac:dyDescent="0.25">
      <c r="A233" s="26" t="s">
        <v>426</v>
      </c>
      <c r="B233" s="27" t="s">
        <v>1460</v>
      </c>
      <c r="C233" s="27" t="s">
        <v>834</v>
      </c>
      <c r="D233" s="27" t="s">
        <v>827</v>
      </c>
      <c r="E233" s="27" t="s">
        <v>828</v>
      </c>
      <c r="F233" s="27" t="s">
        <v>835</v>
      </c>
      <c r="G233" s="27" t="s">
        <v>1690</v>
      </c>
      <c r="H233" s="27" t="s">
        <v>1405</v>
      </c>
      <c r="I233" s="27" t="s">
        <v>419</v>
      </c>
      <c r="J233" s="27" t="s">
        <v>836</v>
      </c>
      <c r="M233" s="27" t="s">
        <v>82</v>
      </c>
      <c r="N233" s="27" t="s">
        <v>6</v>
      </c>
      <c r="R233" s="27" t="s">
        <v>733</v>
      </c>
      <c r="S233" s="46" t="s">
        <v>1374</v>
      </c>
      <c r="T233" s="45" t="s">
        <v>1351</v>
      </c>
      <c r="U233" s="43">
        <v>2</v>
      </c>
      <c r="V233" s="42" t="s">
        <v>1113</v>
      </c>
      <c r="W233" s="49" t="s">
        <v>1373</v>
      </c>
      <c r="X233" s="47" t="s">
        <v>1406</v>
      </c>
    </row>
    <row r="234" spans="1:24" ht="17.850000000000001" customHeight="1" x14ac:dyDescent="0.25">
      <c r="A234" s="26" t="s">
        <v>426</v>
      </c>
      <c r="B234" s="27" t="s">
        <v>1460</v>
      </c>
      <c r="C234" s="27" t="s">
        <v>837</v>
      </c>
      <c r="D234" s="27" t="s">
        <v>827</v>
      </c>
      <c r="E234" s="27" t="s">
        <v>828</v>
      </c>
      <c r="F234" s="27" t="s">
        <v>838</v>
      </c>
      <c r="G234" s="27" t="s">
        <v>1690</v>
      </c>
      <c r="H234" s="27" t="s">
        <v>1405</v>
      </c>
      <c r="I234" s="27" t="s">
        <v>419</v>
      </c>
      <c r="J234" s="27" t="s">
        <v>839</v>
      </c>
      <c r="M234" s="27" t="s">
        <v>82</v>
      </c>
      <c r="N234" s="27" t="s">
        <v>6</v>
      </c>
      <c r="R234" s="27" t="s">
        <v>733</v>
      </c>
    </row>
    <row r="235" spans="1:24" ht="17.850000000000001" customHeight="1" x14ac:dyDescent="0.25">
      <c r="A235" s="26" t="s">
        <v>426</v>
      </c>
      <c r="B235" s="27" t="s">
        <v>342</v>
      </c>
      <c r="C235" s="27" t="s">
        <v>343</v>
      </c>
      <c r="D235" s="27" t="s">
        <v>660</v>
      </c>
      <c r="E235" s="27" t="s">
        <v>382</v>
      </c>
      <c r="F235" s="27" t="s">
        <v>614</v>
      </c>
      <c r="G235" s="27" t="s">
        <v>618</v>
      </c>
      <c r="H235" s="27" t="s">
        <v>552</v>
      </c>
      <c r="I235" s="27" t="s">
        <v>419</v>
      </c>
      <c r="J235" s="27" t="s">
        <v>728</v>
      </c>
      <c r="K235" s="27" t="s">
        <v>344</v>
      </c>
      <c r="M235" s="27" t="s">
        <v>82</v>
      </c>
      <c r="N235" s="27" t="s">
        <v>6</v>
      </c>
      <c r="R235" s="27" t="s">
        <v>735</v>
      </c>
      <c r="S235" s="42" t="s">
        <v>342</v>
      </c>
      <c r="T235" s="45" t="s">
        <v>1411</v>
      </c>
      <c r="U235" s="43">
        <v>1</v>
      </c>
      <c r="V235" s="42" t="s">
        <v>1343</v>
      </c>
      <c r="W235" s="49" t="s">
        <v>1415</v>
      </c>
      <c r="X235" s="49" t="s">
        <v>1413</v>
      </c>
    </row>
    <row r="236" spans="1:24" ht="17.850000000000001" customHeight="1" x14ac:dyDescent="0.25">
      <c r="A236" s="26" t="s">
        <v>426</v>
      </c>
      <c r="B236" s="27" t="s">
        <v>342</v>
      </c>
      <c r="C236" s="27" t="s">
        <v>345</v>
      </c>
      <c r="D236" s="27" t="s">
        <v>729</v>
      </c>
      <c r="E236" s="27" t="s">
        <v>382</v>
      </c>
      <c r="F236" s="27" t="s">
        <v>1698</v>
      </c>
      <c r="G236" s="27" t="s">
        <v>983</v>
      </c>
      <c r="H236" s="27" t="s">
        <v>553</v>
      </c>
      <c r="I236" s="27" t="s">
        <v>419</v>
      </c>
      <c r="J236" s="27" t="s">
        <v>730</v>
      </c>
      <c r="M236" s="27" t="s">
        <v>82</v>
      </c>
      <c r="N236" s="27" t="s">
        <v>6</v>
      </c>
      <c r="P236" s="27" t="s">
        <v>1481</v>
      </c>
      <c r="Q236" s="27">
        <v>1</v>
      </c>
      <c r="R236" s="27" t="s">
        <v>735</v>
      </c>
      <c r="S236" s="42" t="s">
        <v>342</v>
      </c>
      <c r="T236" s="45" t="s">
        <v>1411</v>
      </c>
      <c r="U236" s="43">
        <v>2</v>
      </c>
      <c r="V236" s="42" t="s">
        <v>1343</v>
      </c>
      <c r="W236" s="49" t="s">
        <v>1415</v>
      </c>
      <c r="X236" s="49" t="s">
        <v>1408</v>
      </c>
    </row>
    <row r="237" spans="1:24" ht="17.850000000000001" customHeight="1" x14ac:dyDescent="0.25">
      <c r="A237" s="26" t="s">
        <v>426</v>
      </c>
      <c r="B237" s="27" t="s">
        <v>342</v>
      </c>
      <c r="C237" s="27" t="s">
        <v>1011</v>
      </c>
      <c r="D237" s="27" t="s">
        <v>1010</v>
      </c>
      <c r="E237" s="27" t="s">
        <v>382</v>
      </c>
      <c r="F237" s="27" t="s">
        <v>1692</v>
      </c>
      <c r="G237" s="27" t="s">
        <v>1699</v>
      </c>
      <c r="H237" s="27" t="s">
        <v>540</v>
      </c>
      <c r="I237" s="27" t="s">
        <v>419</v>
      </c>
      <c r="J237" s="27" t="s">
        <v>1012</v>
      </c>
      <c r="M237" s="27" t="s">
        <v>82</v>
      </c>
      <c r="N237" s="27" t="s">
        <v>6</v>
      </c>
      <c r="R237" s="27" t="s">
        <v>735</v>
      </c>
      <c r="S237" s="42" t="s">
        <v>342</v>
      </c>
      <c r="T237" s="45" t="s">
        <v>1412</v>
      </c>
      <c r="U237" s="43">
        <v>3</v>
      </c>
      <c r="V237" s="42" t="s">
        <v>1343</v>
      </c>
      <c r="W237" s="49" t="s">
        <v>1415</v>
      </c>
      <c r="X237" s="49" t="s">
        <v>1414</v>
      </c>
    </row>
    <row r="238" spans="1:24" ht="17.850000000000001" customHeight="1" x14ac:dyDescent="0.25">
      <c r="A238" s="26" t="s">
        <v>426</v>
      </c>
      <c r="B238" s="27" t="s">
        <v>1461</v>
      </c>
      <c r="C238" s="27" t="s">
        <v>347</v>
      </c>
      <c r="D238" s="27" t="s">
        <v>731</v>
      </c>
      <c r="E238" s="27" t="s">
        <v>383</v>
      </c>
      <c r="F238" s="27" t="s">
        <v>1700</v>
      </c>
      <c r="G238" s="27" t="s">
        <v>1693</v>
      </c>
      <c r="H238" s="27" t="s">
        <v>478</v>
      </c>
      <c r="I238" s="27" t="s">
        <v>420</v>
      </c>
      <c r="J238" s="27" t="s">
        <v>346</v>
      </c>
      <c r="K238" s="27" t="s">
        <v>348</v>
      </c>
      <c r="M238" s="27" t="s">
        <v>82</v>
      </c>
      <c r="N238" s="27" t="s">
        <v>6</v>
      </c>
      <c r="R238" s="27" t="s">
        <v>736</v>
      </c>
      <c r="S238" s="42" t="s">
        <v>1427</v>
      </c>
      <c r="T238" s="45" t="s">
        <v>1430</v>
      </c>
      <c r="U238" s="43">
        <v>1</v>
      </c>
      <c r="V238" s="49" t="s">
        <v>1345</v>
      </c>
      <c r="W238" s="49" t="s">
        <v>1428</v>
      </c>
      <c r="X238" s="49" t="s">
        <v>1429</v>
      </c>
    </row>
  </sheetData>
  <phoneticPr fontId="1" type="noConversion"/>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E54B1-94C7-420D-B742-577FC698418F}">
  <dimension ref="A1:L53"/>
  <sheetViews>
    <sheetView zoomScale="110" zoomScaleNormal="110" workbookViewId="0">
      <pane xSplit="1" ySplit="1" topLeftCell="B48" activePane="bottomRight" state="frozen"/>
      <selection pane="topRight" activeCell="B1" sqref="B1"/>
      <selection pane="bottomLeft" activeCell="A2" sqref="A2"/>
      <selection pane="bottomRight" activeCell="D48" sqref="D48"/>
    </sheetView>
  </sheetViews>
  <sheetFormatPr defaultColWidth="11" defaultRowHeight="33" customHeight="1" x14ac:dyDescent="0.25"/>
  <cols>
    <col min="1" max="1" width="16" style="2" customWidth="1"/>
    <col min="2" max="2" width="23.375" style="2" customWidth="1"/>
    <col min="3" max="3" width="32.125" style="2" customWidth="1"/>
    <col min="4" max="4" width="89.125" style="2" customWidth="1"/>
    <col min="5" max="16384" width="11" style="2"/>
  </cols>
  <sheetData>
    <row r="1" spans="1:10" ht="33" customHeight="1" x14ac:dyDescent="0.25">
      <c r="A1" s="1" t="s">
        <v>434</v>
      </c>
      <c r="B1" s="1" t="s">
        <v>435</v>
      </c>
      <c r="C1" s="1" t="s">
        <v>436</v>
      </c>
      <c r="D1" s="1" t="s">
        <v>437</v>
      </c>
    </row>
    <row r="2" spans="1:10" ht="33" customHeight="1" x14ac:dyDescent="0.25">
      <c r="A2" s="4" t="s">
        <v>933</v>
      </c>
      <c r="B2" s="2" t="s">
        <v>98</v>
      </c>
      <c r="C2" s="2" t="s">
        <v>439</v>
      </c>
      <c r="D2" s="5" t="s">
        <v>479</v>
      </c>
      <c r="G2" s="65"/>
      <c r="H2" s="38"/>
      <c r="I2" s="38"/>
      <c r="J2" s="38"/>
    </row>
    <row r="3" spans="1:10" ht="33" customHeight="1" x14ac:dyDescent="0.25">
      <c r="A3" s="2" t="s">
        <v>19</v>
      </c>
      <c r="B3" s="2" t="s">
        <v>440</v>
      </c>
      <c r="C3" s="2" t="s">
        <v>772</v>
      </c>
      <c r="D3" s="16" t="s">
        <v>769</v>
      </c>
      <c r="G3" s="38"/>
      <c r="H3" s="38"/>
      <c r="I3" s="38"/>
      <c r="J3" s="58"/>
    </row>
    <row r="4" spans="1:10" ht="33" customHeight="1" x14ac:dyDescent="0.25">
      <c r="A4" s="2" t="s">
        <v>19</v>
      </c>
      <c r="B4" s="2" t="s">
        <v>85</v>
      </c>
      <c r="C4" s="2" t="s">
        <v>771</v>
      </c>
      <c r="D4" s="16" t="s">
        <v>770</v>
      </c>
      <c r="G4" s="38"/>
      <c r="H4" s="38"/>
      <c r="I4" s="38"/>
      <c r="J4" s="58"/>
    </row>
    <row r="5" spans="1:10" ht="33" customHeight="1" x14ac:dyDescent="0.25">
      <c r="A5" s="2" t="s">
        <v>19</v>
      </c>
      <c r="B5" s="2" t="s">
        <v>1102</v>
      </c>
      <c r="C5" s="2" t="s">
        <v>1101</v>
      </c>
      <c r="D5" s="16" t="s">
        <v>953</v>
      </c>
      <c r="G5" s="38"/>
      <c r="H5" s="38"/>
      <c r="I5" s="38"/>
      <c r="J5" s="38"/>
    </row>
    <row r="6" spans="1:10" ht="33" customHeight="1" x14ac:dyDescent="0.25">
      <c r="A6" s="2" t="s">
        <v>19</v>
      </c>
      <c r="B6" s="2" t="s">
        <v>441</v>
      </c>
      <c r="C6" s="2" t="s">
        <v>442</v>
      </c>
      <c r="D6" s="16" t="s">
        <v>954</v>
      </c>
      <c r="G6" s="38"/>
      <c r="H6" s="38"/>
      <c r="I6" s="38"/>
      <c r="J6" s="38"/>
    </row>
    <row r="7" spans="1:10" ht="33" customHeight="1" x14ac:dyDescent="0.25">
      <c r="A7" s="2" t="s">
        <v>19</v>
      </c>
      <c r="B7" s="2" t="s">
        <v>1043</v>
      </c>
      <c r="C7" s="2" t="s">
        <v>1099</v>
      </c>
      <c r="D7" s="16" t="s">
        <v>1100</v>
      </c>
      <c r="G7" s="38"/>
      <c r="H7" s="38"/>
      <c r="I7" s="38"/>
      <c r="J7" s="38"/>
    </row>
    <row r="8" spans="1:10" s="6" customFormat="1" ht="33" customHeight="1" x14ac:dyDescent="0.25">
      <c r="A8" s="4" t="s">
        <v>60</v>
      </c>
      <c r="B8" s="4" t="s">
        <v>443</v>
      </c>
      <c r="C8" s="4" t="s">
        <v>444</v>
      </c>
      <c r="D8" s="16" t="s">
        <v>1469</v>
      </c>
    </row>
    <row r="9" spans="1:10" s="6" customFormat="1" ht="33" customHeight="1" x14ac:dyDescent="0.25">
      <c r="A9" s="4" t="s">
        <v>60</v>
      </c>
      <c r="B9" s="4" t="s">
        <v>445</v>
      </c>
      <c r="C9" s="4" t="s">
        <v>446</v>
      </c>
      <c r="D9" s="16" t="s">
        <v>1470</v>
      </c>
      <c r="I9" s="3"/>
    </row>
    <row r="10" spans="1:10" s="6" customFormat="1" ht="33" customHeight="1" x14ac:dyDescent="0.25">
      <c r="A10" s="4" t="s">
        <v>60</v>
      </c>
      <c r="B10" s="4" t="s">
        <v>447</v>
      </c>
      <c r="C10" s="4" t="s">
        <v>448</v>
      </c>
      <c r="D10" s="16" t="s">
        <v>1471</v>
      </c>
    </row>
    <row r="11" spans="1:10" s="39" customFormat="1" ht="33" customHeight="1" x14ac:dyDescent="0.25">
      <c r="A11" s="4" t="s">
        <v>60</v>
      </c>
      <c r="B11" s="4" t="s">
        <v>1472</v>
      </c>
      <c r="C11" s="4" t="s">
        <v>1063</v>
      </c>
      <c r="D11" s="16" t="s">
        <v>1473</v>
      </c>
    </row>
    <row r="12" spans="1:10" ht="33" customHeight="1" x14ac:dyDescent="0.25">
      <c r="A12" s="2" t="s">
        <v>133</v>
      </c>
      <c r="B12" s="2" t="s">
        <v>449</v>
      </c>
      <c r="C12" s="2" t="s">
        <v>450</v>
      </c>
      <c r="D12" s="16" t="s">
        <v>887</v>
      </c>
      <c r="F12" s="41"/>
    </row>
    <row r="13" spans="1:10" ht="33" customHeight="1" x14ac:dyDescent="0.25">
      <c r="A13" s="7" t="s">
        <v>279</v>
      </c>
      <c r="B13" s="2" t="s">
        <v>458</v>
      </c>
      <c r="C13" s="2" t="s">
        <v>459</v>
      </c>
      <c r="D13" s="2" t="s">
        <v>482</v>
      </c>
      <c r="F13" s="38"/>
    </row>
    <row r="14" spans="1:10" ht="33" customHeight="1" x14ac:dyDescent="0.25">
      <c r="A14" s="8" t="s">
        <v>133</v>
      </c>
      <c r="B14" s="2" t="s">
        <v>471</v>
      </c>
      <c r="C14" s="2" t="s">
        <v>472</v>
      </c>
      <c r="D14" s="5" t="s">
        <v>908</v>
      </c>
    </row>
    <row r="15" spans="1:10" ht="33" customHeight="1" x14ac:dyDescent="0.25">
      <c r="A15" s="4" t="s">
        <v>133</v>
      </c>
      <c r="B15" s="2" t="s">
        <v>863</v>
      </c>
      <c r="C15" s="2" t="s">
        <v>472</v>
      </c>
      <c r="D15" s="5" t="s">
        <v>909</v>
      </c>
    </row>
    <row r="16" spans="1:10" ht="33" customHeight="1" x14ac:dyDescent="0.25">
      <c r="A16" s="4" t="s">
        <v>133</v>
      </c>
      <c r="B16" s="4" t="s">
        <v>864</v>
      </c>
      <c r="C16" s="2" t="s">
        <v>472</v>
      </c>
      <c r="D16" s="5" t="s">
        <v>910</v>
      </c>
    </row>
    <row r="17" spans="1:8" ht="33" customHeight="1" x14ac:dyDescent="0.25">
      <c r="A17" s="4" t="s">
        <v>133</v>
      </c>
      <c r="B17" s="4" t="s">
        <v>865</v>
      </c>
      <c r="C17" s="2" t="s">
        <v>472</v>
      </c>
      <c r="D17" s="5" t="s">
        <v>911</v>
      </c>
    </row>
    <row r="18" spans="1:8" ht="33" customHeight="1" x14ac:dyDescent="0.25">
      <c r="A18" s="4" t="s">
        <v>133</v>
      </c>
      <c r="B18" s="4" t="s">
        <v>866</v>
      </c>
      <c r="C18" s="2" t="s">
        <v>472</v>
      </c>
      <c r="D18" s="5" t="s">
        <v>912</v>
      </c>
    </row>
    <row r="19" spans="1:8" ht="33" customHeight="1" x14ac:dyDescent="0.25">
      <c r="A19" s="10" t="s">
        <v>133</v>
      </c>
      <c r="B19" s="11" t="s">
        <v>923</v>
      </c>
      <c r="C19" s="11" t="s">
        <v>472</v>
      </c>
      <c r="D19" s="12" t="s">
        <v>928</v>
      </c>
    </row>
    <row r="20" spans="1:8" ht="33" customHeight="1" x14ac:dyDescent="0.25">
      <c r="A20" s="13" t="s">
        <v>133</v>
      </c>
      <c r="B20" s="11" t="s">
        <v>924</v>
      </c>
      <c r="C20" s="11" t="s">
        <v>472</v>
      </c>
      <c r="D20" s="12" t="s">
        <v>929</v>
      </c>
    </row>
    <row r="21" spans="1:8" ht="33" customHeight="1" x14ac:dyDescent="0.25">
      <c r="A21" s="13" t="s">
        <v>133</v>
      </c>
      <c r="B21" s="13" t="s">
        <v>925</v>
      </c>
      <c r="C21" s="11" t="s">
        <v>472</v>
      </c>
      <c r="D21" s="12" t="s">
        <v>930</v>
      </c>
    </row>
    <row r="22" spans="1:8" ht="33" customHeight="1" x14ac:dyDescent="0.25">
      <c r="A22" s="13" t="s">
        <v>133</v>
      </c>
      <c r="B22" s="13" t="s">
        <v>926</v>
      </c>
      <c r="C22" s="11" t="s">
        <v>472</v>
      </c>
      <c r="D22" s="12" t="s">
        <v>931</v>
      </c>
    </row>
    <row r="23" spans="1:8" ht="33" customHeight="1" x14ac:dyDescent="0.25">
      <c r="A23" s="13" t="s">
        <v>133</v>
      </c>
      <c r="B23" s="13" t="s">
        <v>927</v>
      </c>
      <c r="C23" s="11" t="s">
        <v>472</v>
      </c>
      <c r="D23" s="12" t="s">
        <v>932</v>
      </c>
    </row>
    <row r="24" spans="1:8" ht="33" customHeight="1" x14ac:dyDescent="0.25">
      <c r="A24" s="2" t="s">
        <v>182</v>
      </c>
      <c r="B24" s="2" t="s">
        <v>438</v>
      </c>
      <c r="C24" s="2" t="s">
        <v>477</v>
      </c>
      <c r="D24" s="16" t="s">
        <v>903</v>
      </c>
      <c r="F24" s="38"/>
    </row>
    <row r="25" spans="1:8" ht="19.5" customHeight="1" x14ac:dyDescent="0.25">
      <c r="A25" s="2" t="s">
        <v>1704</v>
      </c>
      <c r="C25" s="2" t="s">
        <v>1705</v>
      </c>
      <c r="D25" s="5" t="s">
        <v>1706</v>
      </c>
    </row>
    <row r="26" spans="1:8" ht="33" customHeight="1" x14ac:dyDescent="0.25">
      <c r="A26" s="7" t="s">
        <v>279</v>
      </c>
      <c r="B26" s="2" t="s">
        <v>451</v>
      </c>
      <c r="C26" s="2" t="s">
        <v>452</v>
      </c>
      <c r="D26" s="5" t="s">
        <v>480</v>
      </c>
      <c r="F26" s="65"/>
      <c r="G26" s="38"/>
      <c r="H26" s="38"/>
    </row>
    <row r="27" spans="1:8" ht="33" customHeight="1" x14ac:dyDescent="0.25">
      <c r="A27" s="7" t="s">
        <v>279</v>
      </c>
      <c r="B27" s="2" t="s">
        <v>453</v>
      </c>
      <c r="C27" s="2" t="s">
        <v>454</v>
      </c>
      <c r="D27" s="5" t="s">
        <v>641</v>
      </c>
      <c r="F27" s="65"/>
      <c r="G27" s="38"/>
      <c r="H27" s="38"/>
    </row>
    <row r="28" spans="1:8" ht="33" customHeight="1" x14ac:dyDescent="0.25">
      <c r="A28" s="7" t="s">
        <v>279</v>
      </c>
      <c r="B28" s="2" t="s">
        <v>455</v>
      </c>
      <c r="C28" s="2" t="s">
        <v>654</v>
      </c>
      <c r="D28" s="5" t="s">
        <v>642</v>
      </c>
      <c r="F28" s="38"/>
      <c r="G28" s="38"/>
      <c r="H28" s="38"/>
    </row>
    <row r="29" spans="1:8" ht="33" customHeight="1" x14ac:dyDescent="0.25">
      <c r="A29" s="7" t="s">
        <v>279</v>
      </c>
      <c r="B29" s="2" t="s">
        <v>1447</v>
      </c>
      <c r="C29" s="2" t="s">
        <v>655</v>
      </c>
      <c r="D29" s="5" t="s">
        <v>1446</v>
      </c>
      <c r="F29" s="38"/>
      <c r="G29" s="38"/>
      <c r="H29" s="38"/>
    </row>
    <row r="30" spans="1:8" ht="33" customHeight="1" x14ac:dyDescent="0.25">
      <c r="A30" s="7" t="s">
        <v>279</v>
      </c>
      <c r="B30" s="2" t="s">
        <v>456</v>
      </c>
      <c r="C30" s="2" t="s">
        <v>457</v>
      </c>
      <c r="D30" s="5" t="s">
        <v>481</v>
      </c>
      <c r="F30" s="38"/>
      <c r="G30" s="38"/>
      <c r="H30" s="38"/>
    </row>
    <row r="31" spans="1:8" ht="33" customHeight="1" x14ac:dyDescent="0.25">
      <c r="A31" s="8" t="s">
        <v>279</v>
      </c>
      <c r="B31" s="2" t="s">
        <v>322</v>
      </c>
      <c r="C31" s="2" t="s">
        <v>460</v>
      </c>
      <c r="D31" s="5" t="s">
        <v>483</v>
      </c>
      <c r="F31" s="38"/>
      <c r="G31" s="38"/>
      <c r="H31" s="38"/>
    </row>
    <row r="32" spans="1:8" ht="33" customHeight="1" x14ac:dyDescent="0.25">
      <c r="A32" s="8" t="s">
        <v>323</v>
      </c>
      <c r="B32" s="4" t="s">
        <v>337</v>
      </c>
      <c r="C32" s="2" t="s">
        <v>336</v>
      </c>
      <c r="D32" s="5" t="s">
        <v>484</v>
      </c>
      <c r="F32" s="50"/>
      <c r="G32" s="38"/>
      <c r="H32" s="38"/>
    </row>
    <row r="33" spans="1:12" ht="33" customHeight="1" x14ac:dyDescent="0.25">
      <c r="A33" s="8" t="s">
        <v>323</v>
      </c>
      <c r="B33" s="4" t="s">
        <v>461</v>
      </c>
      <c r="C33" s="2" t="s">
        <v>462</v>
      </c>
      <c r="D33" s="5" t="s">
        <v>1387</v>
      </c>
      <c r="F33" s="50"/>
      <c r="G33" s="38"/>
      <c r="H33" s="38"/>
    </row>
    <row r="34" spans="1:12" ht="33" customHeight="1" x14ac:dyDescent="0.25">
      <c r="A34" s="8" t="s">
        <v>323</v>
      </c>
      <c r="B34" s="4" t="s">
        <v>463</v>
      </c>
      <c r="C34" s="2" t="s">
        <v>336</v>
      </c>
      <c r="D34" s="5" t="s">
        <v>485</v>
      </c>
      <c r="F34" s="50"/>
      <c r="G34" s="38"/>
      <c r="H34" s="38"/>
    </row>
    <row r="35" spans="1:12" ht="33" customHeight="1" x14ac:dyDescent="0.25">
      <c r="A35" s="8" t="s">
        <v>323</v>
      </c>
      <c r="B35" s="4" t="s">
        <v>464</v>
      </c>
      <c r="C35" s="2" t="s">
        <v>465</v>
      </c>
      <c r="D35" s="5" t="s">
        <v>651</v>
      </c>
      <c r="F35" s="50"/>
      <c r="G35" s="38"/>
      <c r="H35" s="38"/>
    </row>
    <row r="36" spans="1:12" s="9" customFormat="1" ht="33" customHeight="1" x14ac:dyDescent="0.25">
      <c r="A36" s="16" t="s">
        <v>323</v>
      </c>
      <c r="B36" s="4" t="s">
        <v>649</v>
      </c>
      <c r="C36" s="4" t="s">
        <v>336</v>
      </c>
      <c r="D36" s="16" t="s">
        <v>650</v>
      </c>
      <c r="F36" s="50"/>
      <c r="G36" s="50"/>
      <c r="H36" s="50"/>
      <c r="L36" s="2"/>
    </row>
    <row r="37" spans="1:12" ht="33" customHeight="1" x14ac:dyDescent="0.25">
      <c r="A37" s="8" t="s">
        <v>323</v>
      </c>
      <c r="B37" s="4" t="s">
        <v>466</v>
      </c>
      <c r="C37" s="2" t="s">
        <v>336</v>
      </c>
      <c r="D37" s="5" t="s">
        <v>639</v>
      </c>
      <c r="F37" s="50"/>
      <c r="G37" s="38"/>
      <c r="H37" s="38"/>
      <c r="I37" s="9"/>
      <c r="J37" s="9"/>
      <c r="K37" s="9"/>
    </row>
    <row r="38" spans="1:12" ht="33" customHeight="1" x14ac:dyDescent="0.25">
      <c r="A38" s="8" t="s">
        <v>323</v>
      </c>
      <c r="B38" s="4" t="s">
        <v>467</v>
      </c>
      <c r="C38" s="2" t="s">
        <v>468</v>
      </c>
      <c r="D38" s="5" t="s">
        <v>486</v>
      </c>
      <c r="F38" s="50"/>
      <c r="G38" s="38"/>
      <c r="H38" s="38"/>
      <c r="I38" s="9"/>
      <c r="J38" s="9"/>
      <c r="K38" s="9"/>
    </row>
    <row r="39" spans="1:12" ht="33" customHeight="1" x14ac:dyDescent="0.25">
      <c r="A39" s="8" t="s">
        <v>323</v>
      </c>
      <c r="B39" s="4" t="s">
        <v>469</v>
      </c>
      <c r="C39" s="2" t="s">
        <v>470</v>
      </c>
      <c r="D39" s="16" t="s">
        <v>1013</v>
      </c>
      <c r="F39" s="50"/>
      <c r="G39" s="38"/>
      <c r="H39" s="41"/>
      <c r="I39" s="9"/>
      <c r="J39" s="9"/>
      <c r="K39" s="9"/>
    </row>
    <row r="40" spans="1:12" ht="33" customHeight="1" x14ac:dyDescent="0.25">
      <c r="A40" s="8" t="s">
        <v>323</v>
      </c>
      <c r="B40" s="4" t="s">
        <v>1385</v>
      </c>
      <c r="C40" s="2" t="s">
        <v>1378</v>
      </c>
      <c r="D40" s="5" t="s">
        <v>1386</v>
      </c>
    </row>
    <row r="41" spans="1:12" ht="33" customHeight="1" x14ac:dyDescent="0.25">
      <c r="A41" s="8" t="s">
        <v>323</v>
      </c>
      <c r="B41" s="4" t="s">
        <v>1388</v>
      </c>
      <c r="C41" s="2" t="s">
        <v>1378</v>
      </c>
      <c r="D41" s="16" t="s">
        <v>1389</v>
      </c>
    </row>
    <row r="42" spans="1:12" ht="33" customHeight="1" x14ac:dyDescent="0.25">
      <c r="A42" s="8" t="s">
        <v>323</v>
      </c>
      <c r="B42" s="4" t="s">
        <v>697</v>
      </c>
      <c r="C42" s="2" t="s">
        <v>698</v>
      </c>
      <c r="D42" s="5" t="s">
        <v>699</v>
      </c>
    </row>
    <row r="43" spans="1:12" ht="33" customHeight="1" x14ac:dyDescent="0.25">
      <c r="A43" s="8" t="s">
        <v>323</v>
      </c>
      <c r="B43" s="4" t="s">
        <v>700</v>
      </c>
      <c r="C43" s="2" t="s">
        <v>701</v>
      </c>
      <c r="D43" s="5" t="s">
        <v>702</v>
      </c>
    </row>
    <row r="44" spans="1:12" ht="33" customHeight="1" x14ac:dyDescent="0.25">
      <c r="A44" s="8" t="s">
        <v>323</v>
      </c>
      <c r="B44" s="4" t="s">
        <v>703</v>
      </c>
      <c r="C44" s="2" t="s">
        <v>704</v>
      </c>
      <c r="D44" s="5" t="s">
        <v>705</v>
      </c>
    </row>
    <row r="45" spans="1:12" ht="33" customHeight="1" x14ac:dyDescent="0.25">
      <c r="A45" s="8" t="s">
        <v>342</v>
      </c>
      <c r="B45" s="2" t="s">
        <v>473</v>
      </c>
      <c r="C45" s="2" t="s">
        <v>474</v>
      </c>
      <c r="D45" s="16" t="s">
        <v>1014</v>
      </c>
    </row>
    <row r="46" spans="1:12" ht="33" customHeight="1" x14ac:dyDescent="0.25">
      <c r="A46" s="8" t="s">
        <v>342</v>
      </c>
      <c r="B46" s="2" t="s">
        <v>475</v>
      </c>
      <c r="C46" s="2" t="s">
        <v>1479</v>
      </c>
      <c r="D46" s="5" t="s">
        <v>487</v>
      </c>
    </row>
    <row r="47" spans="1:12" ht="33" customHeight="1" x14ac:dyDescent="0.25">
      <c r="A47" s="8" t="s">
        <v>346</v>
      </c>
      <c r="B47" s="2" t="s">
        <v>476</v>
      </c>
      <c r="C47" s="2" t="s">
        <v>656</v>
      </c>
      <c r="D47" s="5" t="s">
        <v>488</v>
      </c>
    </row>
    <row r="48" spans="1:12" ht="33" customHeight="1" x14ac:dyDescent="0.25">
      <c r="A48" s="66" t="s">
        <v>621</v>
      </c>
      <c r="B48" s="66" t="s">
        <v>622</v>
      </c>
      <c r="C48" s="66" t="s">
        <v>623</v>
      </c>
      <c r="D48" s="67" t="s">
        <v>1733</v>
      </c>
    </row>
    <row r="49" spans="1:4" ht="33" customHeight="1" x14ac:dyDescent="0.25">
      <c r="A49" s="14" t="s">
        <v>773</v>
      </c>
      <c r="B49" s="14" t="s">
        <v>777</v>
      </c>
      <c r="C49" s="14" t="s">
        <v>774</v>
      </c>
      <c r="D49" s="15" t="s">
        <v>778</v>
      </c>
    </row>
    <row r="50" spans="1:4" ht="33" customHeight="1" x14ac:dyDescent="0.25">
      <c r="A50" s="14" t="s">
        <v>773</v>
      </c>
      <c r="B50" s="14" t="s">
        <v>779</v>
      </c>
      <c r="C50" s="14" t="s">
        <v>775</v>
      </c>
      <c r="D50" s="15" t="s">
        <v>780</v>
      </c>
    </row>
    <row r="51" spans="1:4" ht="33" customHeight="1" x14ac:dyDescent="0.25">
      <c r="A51" s="14" t="s">
        <v>773</v>
      </c>
      <c r="B51" s="14" t="s">
        <v>781</v>
      </c>
      <c r="C51" s="14" t="s">
        <v>776</v>
      </c>
      <c r="D51" s="15" t="s">
        <v>782</v>
      </c>
    </row>
    <row r="52" spans="1:4" ht="21" customHeight="1" x14ac:dyDescent="0.25">
      <c r="A52" s="13" t="s">
        <v>1474</v>
      </c>
      <c r="B52" s="13" t="s">
        <v>1475</v>
      </c>
      <c r="C52" s="13" t="s">
        <v>1476</v>
      </c>
      <c r="D52" s="68" t="s">
        <v>1477</v>
      </c>
    </row>
    <row r="53" spans="1:4" ht="33" customHeight="1" x14ac:dyDescent="0.25">
      <c r="A53" s="2" t="s">
        <v>1729</v>
      </c>
      <c r="B53" s="2" t="s">
        <v>1730</v>
      </c>
      <c r="C53" s="2" t="s">
        <v>1731</v>
      </c>
      <c r="D53" s="5" t="s">
        <v>1732</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E8E7EE-C276-4674-AE4F-1A0C8C62512A}">
  <dimension ref="A1:G300"/>
  <sheetViews>
    <sheetView workbookViewId="0">
      <pane xSplit="1" ySplit="1" topLeftCell="B2" activePane="bottomRight" state="frozen"/>
      <selection pane="topRight" activeCell="B1" sqref="B1"/>
      <selection pane="bottomLeft" activeCell="A2" sqref="A2"/>
      <selection pane="bottomRight" activeCell="F14" sqref="F14"/>
    </sheetView>
  </sheetViews>
  <sheetFormatPr defaultColWidth="11" defaultRowHeight="15" x14ac:dyDescent="0.35"/>
  <cols>
    <col min="1" max="1" width="5.625" style="19" customWidth="1"/>
    <col min="2" max="2" width="29.5" style="19" bestFit="1" customWidth="1"/>
    <col min="3" max="3" width="23.375" style="19" bestFit="1" customWidth="1"/>
    <col min="4" max="4" width="10.875" style="22" customWidth="1"/>
    <col min="5" max="16384" width="11" style="19"/>
  </cols>
  <sheetData>
    <row r="1" spans="1:7" x14ac:dyDescent="0.35">
      <c r="A1" s="17" t="s">
        <v>555</v>
      </c>
      <c r="B1" s="17" t="s">
        <v>556</v>
      </c>
      <c r="C1" s="17" t="s">
        <v>557</v>
      </c>
      <c r="D1" s="18" t="s">
        <v>558</v>
      </c>
      <c r="E1" s="17" t="s">
        <v>559</v>
      </c>
      <c r="F1" s="17" t="s">
        <v>560</v>
      </c>
      <c r="G1" s="17" t="s">
        <v>561</v>
      </c>
    </row>
    <row r="2" spans="1:7" x14ac:dyDescent="0.35">
      <c r="A2" s="19">
        <v>1</v>
      </c>
      <c r="B2" s="20" t="s">
        <v>619</v>
      </c>
      <c r="C2" s="20" t="s">
        <v>562</v>
      </c>
      <c r="D2" s="21" t="s">
        <v>563</v>
      </c>
      <c r="E2" s="20" t="s">
        <v>564</v>
      </c>
      <c r="F2" s="20" t="s">
        <v>565</v>
      </c>
      <c r="G2" s="20"/>
    </row>
    <row r="3" spans="1:7" x14ac:dyDescent="0.35">
      <c r="A3" s="19">
        <f>IF(B3="","",A2+1)</f>
        <v>2</v>
      </c>
      <c r="B3" s="20" t="s">
        <v>620</v>
      </c>
      <c r="C3" s="20" t="s">
        <v>566</v>
      </c>
      <c r="D3" s="21" t="s">
        <v>567</v>
      </c>
      <c r="E3" s="20" t="s">
        <v>568</v>
      </c>
      <c r="F3" s="20" t="s">
        <v>569</v>
      </c>
      <c r="G3" s="20"/>
    </row>
    <row r="4" spans="1:7" x14ac:dyDescent="0.35">
      <c r="A4" s="19">
        <f t="shared" ref="A4:A67" si="0">IF(B4="","",A3+1)</f>
        <v>3</v>
      </c>
      <c r="B4" s="20" t="s">
        <v>570</v>
      </c>
      <c r="C4" s="20" t="s">
        <v>571</v>
      </c>
      <c r="D4" s="21" t="s">
        <v>572</v>
      </c>
      <c r="E4" s="20" t="s">
        <v>573</v>
      </c>
      <c r="F4" s="20" t="s">
        <v>574</v>
      </c>
      <c r="G4" s="20"/>
    </row>
    <row r="5" spans="1:7" x14ac:dyDescent="0.35">
      <c r="A5" s="19">
        <f t="shared" si="0"/>
        <v>4</v>
      </c>
      <c r="B5" s="20" t="s">
        <v>575</v>
      </c>
      <c r="C5" s="20" t="s">
        <v>575</v>
      </c>
      <c r="D5" s="21" t="s">
        <v>576</v>
      </c>
      <c r="E5" s="20" t="s">
        <v>575</v>
      </c>
      <c r="F5" s="20" t="s">
        <v>577</v>
      </c>
      <c r="G5" s="20"/>
    </row>
    <row r="6" spans="1:7" x14ac:dyDescent="0.35">
      <c r="A6" s="19">
        <f t="shared" si="0"/>
        <v>5</v>
      </c>
      <c r="B6" s="19" t="s">
        <v>578</v>
      </c>
      <c r="C6" s="20" t="s">
        <v>579</v>
      </c>
      <c r="D6" s="21" t="s">
        <v>580</v>
      </c>
      <c r="E6" s="20" t="s">
        <v>581</v>
      </c>
      <c r="F6" s="20" t="s">
        <v>582</v>
      </c>
      <c r="G6" s="20"/>
    </row>
    <row r="7" spans="1:7" x14ac:dyDescent="0.35">
      <c r="A7" s="19">
        <f t="shared" si="0"/>
        <v>6</v>
      </c>
      <c r="B7" s="20" t="s">
        <v>583</v>
      </c>
      <c r="C7" s="20" t="s">
        <v>583</v>
      </c>
      <c r="D7" s="21" t="s">
        <v>584</v>
      </c>
      <c r="E7" s="20" t="s">
        <v>585</v>
      </c>
      <c r="F7" s="20" t="s">
        <v>586</v>
      </c>
      <c r="G7" s="20"/>
    </row>
    <row r="8" spans="1:7" x14ac:dyDescent="0.35">
      <c r="A8" s="19">
        <f t="shared" si="0"/>
        <v>7</v>
      </c>
      <c r="B8" s="20" t="s">
        <v>587</v>
      </c>
      <c r="C8" s="20" t="s">
        <v>588</v>
      </c>
      <c r="D8" s="21" t="s">
        <v>589</v>
      </c>
      <c r="E8" s="20" t="s">
        <v>590</v>
      </c>
      <c r="F8" s="20" t="s">
        <v>591</v>
      </c>
      <c r="G8" s="20"/>
    </row>
    <row r="9" spans="1:7" x14ac:dyDescent="0.35">
      <c r="A9" s="19">
        <f t="shared" si="0"/>
        <v>8</v>
      </c>
      <c r="B9" s="20" t="s">
        <v>592</v>
      </c>
      <c r="C9" s="20" t="s">
        <v>593</v>
      </c>
      <c r="D9" s="21" t="s">
        <v>594</v>
      </c>
      <c r="E9" s="20" t="s">
        <v>595</v>
      </c>
      <c r="F9" s="20" t="s">
        <v>596</v>
      </c>
      <c r="G9" s="20"/>
    </row>
    <row r="10" spans="1:7" x14ac:dyDescent="0.35">
      <c r="A10" s="19">
        <f t="shared" si="0"/>
        <v>9</v>
      </c>
      <c r="B10" s="20" t="s">
        <v>287</v>
      </c>
      <c r="C10" s="20" t="s">
        <v>597</v>
      </c>
      <c r="D10" s="21" t="s">
        <v>598</v>
      </c>
      <c r="E10" s="20" t="s">
        <v>599</v>
      </c>
      <c r="F10" s="20" t="s">
        <v>600</v>
      </c>
      <c r="G10" s="20"/>
    </row>
    <row r="11" spans="1:7" x14ac:dyDescent="0.35">
      <c r="A11" s="19">
        <f t="shared" si="0"/>
        <v>10</v>
      </c>
      <c r="B11" s="20" t="s">
        <v>601</v>
      </c>
      <c r="C11" s="20" t="s">
        <v>602</v>
      </c>
      <c r="D11" s="21" t="s">
        <v>603</v>
      </c>
      <c r="E11" s="20" t="s">
        <v>604</v>
      </c>
      <c r="F11" s="20" t="s">
        <v>605</v>
      </c>
      <c r="G11" s="20"/>
    </row>
    <row r="12" spans="1:7" x14ac:dyDescent="0.35">
      <c r="A12" s="19">
        <f t="shared" si="0"/>
        <v>11</v>
      </c>
      <c r="B12" s="19" t="str">
        <f t="array" ref="B12:B35">_xlfn.UNIQUE(_xlfn._xlws.FILTER(indicators!$B$2:$B$923,indicators!$B$2:$B$923&lt;&gt;0))</f>
        <v>Demographics</v>
      </c>
    </row>
    <row r="13" spans="1:7" x14ac:dyDescent="0.35">
      <c r="A13" s="19">
        <f t="shared" si="0"/>
        <v>12</v>
      </c>
      <c r="B13" s="19" t="str">
        <v>Tobacco use</v>
      </c>
    </row>
    <row r="14" spans="1:7" x14ac:dyDescent="0.35">
      <c r="A14" s="19">
        <f t="shared" si="0"/>
        <v>13</v>
      </c>
      <c r="B14" s="19" t="str">
        <v>Alcohol consumption</v>
      </c>
    </row>
    <row r="15" spans="1:7" x14ac:dyDescent="0.35">
      <c r="A15" s="19">
        <f t="shared" si="0"/>
        <v>14</v>
      </c>
      <c r="B15" s="19" t="str">
        <v>Diet</v>
      </c>
    </row>
    <row r="16" spans="1:7" x14ac:dyDescent="0.35">
      <c r="A16" s="19">
        <f t="shared" si="0"/>
        <v>15</v>
      </c>
      <c r="B16" s="19" t="str">
        <v>Physical activity</v>
      </c>
    </row>
    <row r="17" spans="1:2" x14ac:dyDescent="0.35">
      <c r="A17" s="19">
        <f t="shared" si="0"/>
        <v>16</v>
      </c>
      <c r="B17" s="19" t="str">
        <v>History of raised blood pressure</v>
      </c>
    </row>
    <row r="18" spans="1:2" x14ac:dyDescent="0.35">
      <c r="A18" s="19">
        <f t="shared" si="0"/>
        <v>17</v>
      </c>
      <c r="B18" s="19" t="str">
        <v>History of diabetes</v>
      </c>
    </row>
    <row r="19" spans="1:2" x14ac:dyDescent="0.35">
      <c r="A19" s="19">
        <f t="shared" si="0"/>
        <v>18</v>
      </c>
      <c r="B19" s="19" t="str">
        <v>History of raised total cholesterol</v>
      </c>
    </row>
    <row r="20" spans="1:2" x14ac:dyDescent="0.35">
      <c r="A20" s="19">
        <f t="shared" si="0"/>
        <v>19</v>
      </c>
      <c r="B20" s="19" t="str">
        <v>History of cardiovascular diseases</v>
      </c>
    </row>
    <row r="21" spans="1:2" x14ac:dyDescent="0.35">
      <c r="A21" s="19">
        <f t="shared" si="0"/>
        <v>20</v>
      </c>
      <c r="B21" s="19" t="str">
        <v>Lifestyle advice</v>
      </c>
    </row>
    <row r="22" spans="1:2" x14ac:dyDescent="0.35">
      <c r="A22" s="19">
        <f t="shared" si="0"/>
        <v>21</v>
      </c>
      <c r="B22" s="19" t="str">
        <v>Cervical cancer screening</v>
      </c>
    </row>
    <row r="23" spans="1:2" x14ac:dyDescent="0.35">
      <c r="A23" s="19">
        <f t="shared" si="0"/>
        <v>22</v>
      </c>
      <c r="B23" s="19" t="str">
        <v>Chronic respiratory diseases</v>
      </c>
    </row>
    <row r="24" spans="1:2" x14ac:dyDescent="0.35">
      <c r="A24" s="19">
        <f t="shared" si="0"/>
        <v>23</v>
      </c>
      <c r="B24" s="19" t="str">
        <v>Oral health</v>
      </c>
    </row>
    <row r="25" spans="1:2" x14ac:dyDescent="0.35">
      <c r="A25" s="19">
        <f t="shared" si="0"/>
        <v>24</v>
      </c>
      <c r="B25" s="19" t="str">
        <v>Mental health - depression</v>
      </c>
    </row>
    <row r="26" spans="1:2" x14ac:dyDescent="0.35">
      <c r="A26" s="19">
        <f t="shared" si="0"/>
        <v>25</v>
      </c>
      <c r="B26" s="19" t="str">
        <v>Mental Health - suicide</v>
      </c>
    </row>
    <row r="27" spans="1:2" x14ac:dyDescent="0.35">
      <c r="A27" s="19">
        <f t="shared" si="0"/>
        <v>26</v>
      </c>
      <c r="B27" s="19" t="str">
        <v>Violence and injury</v>
      </c>
    </row>
    <row r="28" spans="1:2" x14ac:dyDescent="0.35">
      <c r="A28" s="19">
        <f t="shared" si="0"/>
        <v>27</v>
      </c>
      <c r="B28" s="19" t="str">
        <v>Physical measurements</v>
      </c>
    </row>
    <row r="29" spans="1:2" x14ac:dyDescent="0.35">
      <c r="A29" s="19">
        <f t="shared" si="0"/>
        <v>28</v>
      </c>
      <c r="B29" s="19" t="str">
        <v>Biochemical measurements</v>
      </c>
    </row>
    <row r="30" spans="1:2" x14ac:dyDescent="0.35">
      <c r="A30" s="19">
        <f t="shared" si="0"/>
        <v>29</v>
      </c>
      <c r="B30" s="19" t="str">
        <v>Cardiovascular disease risk</v>
      </c>
    </row>
    <row r="31" spans="1:2" x14ac:dyDescent="0.35">
      <c r="A31" s="19">
        <f t="shared" si="0"/>
        <v>30</v>
      </c>
      <c r="B31" s="19" t="str">
        <v>Summary of combined risk factors</v>
      </c>
    </row>
    <row r="32" spans="1:2" x14ac:dyDescent="0.35">
      <c r="A32" s="19" t="e">
        <f t="shared" si="0"/>
        <v>#N/A</v>
      </c>
      <c r="B32" s="19" t="e">
        <v>#N/A</v>
      </c>
    </row>
    <row r="33" spans="1:2" x14ac:dyDescent="0.35">
      <c r="A33" s="19" t="e">
        <f t="shared" si="0"/>
        <v>#N/A</v>
      </c>
      <c r="B33" s="19" t="e">
        <v>#N/A</v>
      </c>
    </row>
    <row r="34" spans="1:2" x14ac:dyDescent="0.35">
      <c r="A34" s="19" t="e">
        <f t="shared" si="0"/>
        <v>#N/A</v>
      </c>
      <c r="B34" s="19" t="e">
        <v>#N/A</v>
      </c>
    </row>
    <row r="35" spans="1:2" x14ac:dyDescent="0.35">
      <c r="A35" s="19" t="e">
        <f t="shared" si="0"/>
        <v>#N/A</v>
      </c>
      <c r="B35" s="19" t="e">
        <v>#N/A</v>
      </c>
    </row>
    <row r="36" spans="1:2" x14ac:dyDescent="0.35">
      <c r="A36" s="19" t="str">
        <f t="shared" si="0"/>
        <v/>
      </c>
    </row>
    <row r="37" spans="1:2" x14ac:dyDescent="0.35">
      <c r="A37" s="19" t="str">
        <f t="shared" si="0"/>
        <v/>
      </c>
    </row>
    <row r="38" spans="1:2" x14ac:dyDescent="0.35">
      <c r="A38" s="19" t="str">
        <f t="shared" si="0"/>
        <v/>
      </c>
    </row>
    <row r="39" spans="1:2" x14ac:dyDescent="0.35">
      <c r="A39" s="19" t="str">
        <f t="shared" si="0"/>
        <v/>
      </c>
    </row>
    <row r="40" spans="1:2" x14ac:dyDescent="0.35">
      <c r="A40" s="19" t="str">
        <f t="shared" si="0"/>
        <v/>
      </c>
    </row>
    <row r="41" spans="1:2" x14ac:dyDescent="0.35">
      <c r="A41" s="19" t="str">
        <f t="shared" si="0"/>
        <v/>
      </c>
    </row>
    <row r="42" spans="1:2" x14ac:dyDescent="0.35">
      <c r="A42" s="19" t="str">
        <f t="shared" si="0"/>
        <v/>
      </c>
    </row>
    <row r="43" spans="1:2" x14ac:dyDescent="0.35">
      <c r="A43" s="19" t="str">
        <f t="shared" si="0"/>
        <v/>
      </c>
    </row>
    <row r="44" spans="1:2" x14ac:dyDescent="0.35">
      <c r="A44" s="19" t="str">
        <f t="shared" si="0"/>
        <v/>
      </c>
    </row>
    <row r="45" spans="1:2" x14ac:dyDescent="0.35">
      <c r="A45" s="19" t="str">
        <f t="shared" si="0"/>
        <v/>
      </c>
    </row>
    <row r="46" spans="1:2" x14ac:dyDescent="0.35">
      <c r="A46" s="19" t="str">
        <f t="shared" si="0"/>
        <v/>
      </c>
    </row>
    <row r="47" spans="1:2" x14ac:dyDescent="0.35">
      <c r="A47" s="19" t="str">
        <f t="shared" si="0"/>
        <v/>
      </c>
    </row>
    <row r="48" spans="1:2" x14ac:dyDescent="0.35">
      <c r="A48" s="19" t="str">
        <f t="shared" si="0"/>
        <v/>
      </c>
    </row>
    <row r="49" spans="1:1" x14ac:dyDescent="0.35">
      <c r="A49" s="19" t="str">
        <f t="shared" si="0"/>
        <v/>
      </c>
    </row>
    <row r="50" spans="1:1" x14ac:dyDescent="0.35">
      <c r="A50" s="19" t="str">
        <f t="shared" si="0"/>
        <v/>
      </c>
    </row>
    <row r="51" spans="1:1" x14ac:dyDescent="0.35">
      <c r="A51" s="19" t="str">
        <f t="shared" si="0"/>
        <v/>
      </c>
    </row>
    <row r="52" spans="1:1" x14ac:dyDescent="0.35">
      <c r="A52" s="19" t="str">
        <f t="shared" si="0"/>
        <v/>
      </c>
    </row>
    <row r="53" spans="1:1" x14ac:dyDescent="0.35">
      <c r="A53" s="19" t="str">
        <f t="shared" si="0"/>
        <v/>
      </c>
    </row>
    <row r="54" spans="1:1" x14ac:dyDescent="0.35">
      <c r="A54" s="19" t="str">
        <f t="shared" si="0"/>
        <v/>
      </c>
    </row>
    <row r="55" spans="1:1" x14ac:dyDescent="0.35">
      <c r="A55" s="19" t="str">
        <f t="shared" si="0"/>
        <v/>
      </c>
    </row>
    <row r="56" spans="1:1" x14ac:dyDescent="0.35">
      <c r="A56" s="19" t="str">
        <f t="shared" si="0"/>
        <v/>
      </c>
    </row>
    <row r="57" spans="1:1" x14ac:dyDescent="0.35">
      <c r="A57" s="19" t="str">
        <f t="shared" si="0"/>
        <v/>
      </c>
    </row>
    <row r="58" spans="1:1" x14ac:dyDescent="0.35">
      <c r="A58" s="19" t="str">
        <f t="shared" si="0"/>
        <v/>
      </c>
    </row>
    <row r="59" spans="1:1" x14ac:dyDescent="0.35">
      <c r="A59" s="19" t="str">
        <f t="shared" si="0"/>
        <v/>
      </c>
    </row>
    <row r="60" spans="1:1" x14ac:dyDescent="0.35">
      <c r="A60" s="19" t="str">
        <f t="shared" si="0"/>
        <v/>
      </c>
    </row>
    <row r="61" spans="1:1" x14ac:dyDescent="0.35">
      <c r="A61" s="19" t="str">
        <f t="shared" si="0"/>
        <v/>
      </c>
    </row>
    <row r="62" spans="1:1" x14ac:dyDescent="0.35">
      <c r="A62" s="19" t="str">
        <f t="shared" si="0"/>
        <v/>
      </c>
    </row>
    <row r="63" spans="1:1" x14ac:dyDescent="0.35">
      <c r="A63" s="19" t="str">
        <f t="shared" si="0"/>
        <v/>
      </c>
    </row>
    <row r="64" spans="1:1" x14ac:dyDescent="0.35">
      <c r="A64" s="19" t="str">
        <f t="shared" si="0"/>
        <v/>
      </c>
    </row>
    <row r="65" spans="1:1" x14ac:dyDescent="0.35">
      <c r="A65" s="19" t="str">
        <f t="shared" si="0"/>
        <v/>
      </c>
    </row>
    <row r="66" spans="1:1" x14ac:dyDescent="0.35">
      <c r="A66" s="19" t="str">
        <f t="shared" si="0"/>
        <v/>
      </c>
    </row>
    <row r="67" spans="1:1" x14ac:dyDescent="0.35">
      <c r="A67" s="19" t="str">
        <f t="shared" si="0"/>
        <v/>
      </c>
    </row>
    <row r="68" spans="1:1" x14ac:dyDescent="0.35">
      <c r="A68" s="19" t="str">
        <f t="shared" ref="A68:A131" si="1">IF(B68="","",A67+1)</f>
        <v/>
      </c>
    </row>
    <row r="69" spans="1:1" x14ac:dyDescent="0.35">
      <c r="A69" s="19" t="str">
        <f t="shared" si="1"/>
        <v/>
      </c>
    </row>
    <row r="70" spans="1:1" x14ac:dyDescent="0.35">
      <c r="A70" s="19" t="str">
        <f t="shared" si="1"/>
        <v/>
      </c>
    </row>
    <row r="71" spans="1:1" x14ac:dyDescent="0.35">
      <c r="A71" s="19" t="str">
        <f t="shared" si="1"/>
        <v/>
      </c>
    </row>
    <row r="72" spans="1:1" x14ac:dyDescent="0.35">
      <c r="A72" s="19" t="str">
        <f t="shared" si="1"/>
        <v/>
      </c>
    </row>
    <row r="73" spans="1:1" x14ac:dyDescent="0.35">
      <c r="A73" s="19" t="str">
        <f t="shared" si="1"/>
        <v/>
      </c>
    </row>
    <row r="74" spans="1:1" x14ac:dyDescent="0.35">
      <c r="A74" s="19" t="str">
        <f t="shared" si="1"/>
        <v/>
      </c>
    </row>
    <row r="75" spans="1:1" x14ac:dyDescent="0.35">
      <c r="A75" s="19" t="str">
        <f t="shared" si="1"/>
        <v/>
      </c>
    </row>
    <row r="76" spans="1:1" x14ac:dyDescent="0.35">
      <c r="A76" s="19" t="str">
        <f t="shared" si="1"/>
        <v/>
      </c>
    </row>
    <row r="77" spans="1:1" x14ac:dyDescent="0.35">
      <c r="A77" s="19" t="str">
        <f t="shared" si="1"/>
        <v/>
      </c>
    </row>
    <row r="78" spans="1:1" x14ac:dyDescent="0.35">
      <c r="A78" s="19" t="str">
        <f t="shared" si="1"/>
        <v/>
      </c>
    </row>
    <row r="79" spans="1:1" x14ac:dyDescent="0.35">
      <c r="A79" s="19" t="str">
        <f t="shared" si="1"/>
        <v/>
      </c>
    </row>
    <row r="80" spans="1:1" x14ac:dyDescent="0.35">
      <c r="A80" s="19" t="str">
        <f t="shared" si="1"/>
        <v/>
      </c>
    </row>
    <row r="81" spans="1:1" x14ac:dyDescent="0.35">
      <c r="A81" s="19" t="str">
        <f t="shared" si="1"/>
        <v/>
      </c>
    </row>
    <row r="82" spans="1:1" x14ac:dyDescent="0.35">
      <c r="A82" s="19" t="str">
        <f t="shared" si="1"/>
        <v/>
      </c>
    </row>
    <row r="83" spans="1:1" x14ac:dyDescent="0.35">
      <c r="A83" s="19" t="str">
        <f t="shared" si="1"/>
        <v/>
      </c>
    </row>
    <row r="84" spans="1:1" x14ac:dyDescent="0.35">
      <c r="A84" s="19" t="str">
        <f t="shared" si="1"/>
        <v/>
      </c>
    </row>
    <row r="85" spans="1:1" x14ac:dyDescent="0.35">
      <c r="A85" s="19" t="str">
        <f t="shared" si="1"/>
        <v/>
      </c>
    </row>
    <row r="86" spans="1:1" x14ac:dyDescent="0.35">
      <c r="A86" s="19" t="str">
        <f t="shared" si="1"/>
        <v/>
      </c>
    </row>
    <row r="87" spans="1:1" x14ac:dyDescent="0.35">
      <c r="A87" s="19" t="str">
        <f t="shared" si="1"/>
        <v/>
      </c>
    </row>
    <row r="88" spans="1:1" x14ac:dyDescent="0.35">
      <c r="A88" s="19" t="str">
        <f t="shared" si="1"/>
        <v/>
      </c>
    </row>
    <row r="89" spans="1:1" x14ac:dyDescent="0.35">
      <c r="A89" s="19" t="str">
        <f t="shared" si="1"/>
        <v/>
      </c>
    </row>
    <row r="90" spans="1:1" x14ac:dyDescent="0.35">
      <c r="A90" s="19" t="str">
        <f t="shared" si="1"/>
        <v/>
      </c>
    </row>
    <row r="91" spans="1:1" x14ac:dyDescent="0.35">
      <c r="A91" s="19" t="str">
        <f t="shared" si="1"/>
        <v/>
      </c>
    </row>
    <row r="92" spans="1:1" x14ac:dyDescent="0.35">
      <c r="A92" s="19" t="str">
        <f t="shared" si="1"/>
        <v/>
      </c>
    </row>
    <row r="93" spans="1:1" x14ac:dyDescent="0.35">
      <c r="A93" s="19" t="str">
        <f t="shared" si="1"/>
        <v/>
      </c>
    </row>
    <row r="94" spans="1:1" x14ac:dyDescent="0.35">
      <c r="A94" s="19" t="str">
        <f t="shared" si="1"/>
        <v/>
      </c>
    </row>
    <row r="95" spans="1:1" x14ac:dyDescent="0.35">
      <c r="A95" s="19" t="str">
        <f t="shared" si="1"/>
        <v/>
      </c>
    </row>
    <row r="96" spans="1:1" x14ac:dyDescent="0.35">
      <c r="A96" s="19" t="str">
        <f t="shared" si="1"/>
        <v/>
      </c>
    </row>
    <row r="97" spans="1:1" x14ac:dyDescent="0.35">
      <c r="A97" s="19" t="str">
        <f t="shared" si="1"/>
        <v/>
      </c>
    </row>
    <row r="98" spans="1:1" x14ac:dyDescent="0.35">
      <c r="A98" s="19" t="str">
        <f t="shared" si="1"/>
        <v/>
      </c>
    </row>
    <row r="99" spans="1:1" x14ac:dyDescent="0.35">
      <c r="A99" s="19" t="str">
        <f t="shared" si="1"/>
        <v/>
      </c>
    </row>
    <row r="100" spans="1:1" x14ac:dyDescent="0.35">
      <c r="A100" s="19" t="str">
        <f t="shared" si="1"/>
        <v/>
      </c>
    </row>
    <row r="101" spans="1:1" x14ac:dyDescent="0.35">
      <c r="A101" s="19" t="str">
        <f t="shared" si="1"/>
        <v/>
      </c>
    </row>
    <row r="102" spans="1:1" x14ac:dyDescent="0.35">
      <c r="A102" s="19" t="str">
        <f t="shared" si="1"/>
        <v/>
      </c>
    </row>
    <row r="103" spans="1:1" x14ac:dyDescent="0.35">
      <c r="A103" s="19" t="str">
        <f t="shared" si="1"/>
        <v/>
      </c>
    </row>
    <row r="104" spans="1:1" x14ac:dyDescent="0.35">
      <c r="A104" s="19" t="str">
        <f t="shared" si="1"/>
        <v/>
      </c>
    </row>
    <row r="105" spans="1:1" x14ac:dyDescent="0.35">
      <c r="A105" s="19" t="str">
        <f t="shared" si="1"/>
        <v/>
      </c>
    </row>
    <row r="106" spans="1:1" x14ac:dyDescent="0.35">
      <c r="A106" s="19" t="str">
        <f t="shared" si="1"/>
        <v/>
      </c>
    </row>
    <row r="107" spans="1:1" x14ac:dyDescent="0.35">
      <c r="A107" s="19" t="str">
        <f t="shared" si="1"/>
        <v/>
      </c>
    </row>
    <row r="108" spans="1:1" x14ac:dyDescent="0.35">
      <c r="A108" s="19" t="str">
        <f t="shared" si="1"/>
        <v/>
      </c>
    </row>
    <row r="109" spans="1:1" x14ac:dyDescent="0.35">
      <c r="A109" s="19" t="str">
        <f t="shared" si="1"/>
        <v/>
      </c>
    </row>
    <row r="110" spans="1:1" x14ac:dyDescent="0.35">
      <c r="A110" s="19" t="str">
        <f t="shared" si="1"/>
        <v/>
      </c>
    </row>
    <row r="111" spans="1:1" x14ac:dyDescent="0.35">
      <c r="A111" s="19" t="str">
        <f t="shared" si="1"/>
        <v/>
      </c>
    </row>
    <row r="112" spans="1:1" x14ac:dyDescent="0.35">
      <c r="A112" s="19" t="str">
        <f t="shared" si="1"/>
        <v/>
      </c>
    </row>
    <row r="113" spans="1:1" x14ac:dyDescent="0.35">
      <c r="A113" s="19" t="str">
        <f t="shared" si="1"/>
        <v/>
      </c>
    </row>
    <row r="114" spans="1:1" x14ac:dyDescent="0.35">
      <c r="A114" s="19" t="str">
        <f t="shared" si="1"/>
        <v/>
      </c>
    </row>
    <row r="115" spans="1:1" x14ac:dyDescent="0.35">
      <c r="A115" s="19" t="str">
        <f t="shared" si="1"/>
        <v/>
      </c>
    </row>
    <row r="116" spans="1:1" x14ac:dyDescent="0.35">
      <c r="A116" s="19" t="str">
        <f t="shared" si="1"/>
        <v/>
      </c>
    </row>
    <row r="117" spans="1:1" x14ac:dyDescent="0.35">
      <c r="A117" s="19" t="str">
        <f t="shared" si="1"/>
        <v/>
      </c>
    </row>
    <row r="118" spans="1:1" x14ac:dyDescent="0.35">
      <c r="A118" s="19" t="str">
        <f t="shared" si="1"/>
        <v/>
      </c>
    </row>
    <row r="119" spans="1:1" x14ac:dyDescent="0.35">
      <c r="A119" s="19" t="str">
        <f t="shared" si="1"/>
        <v/>
      </c>
    </row>
    <row r="120" spans="1:1" x14ac:dyDescent="0.35">
      <c r="A120" s="19" t="str">
        <f t="shared" si="1"/>
        <v/>
      </c>
    </row>
    <row r="121" spans="1:1" x14ac:dyDescent="0.35">
      <c r="A121" s="19" t="str">
        <f t="shared" si="1"/>
        <v/>
      </c>
    </row>
    <row r="122" spans="1:1" x14ac:dyDescent="0.35">
      <c r="A122" s="19" t="str">
        <f t="shared" si="1"/>
        <v/>
      </c>
    </row>
    <row r="123" spans="1:1" x14ac:dyDescent="0.35">
      <c r="A123" s="19" t="str">
        <f t="shared" si="1"/>
        <v/>
      </c>
    </row>
    <row r="124" spans="1:1" x14ac:dyDescent="0.35">
      <c r="A124" s="19" t="str">
        <f t="shared" si="1"/>
        <v/>
      </c>
    </row>
    <row r="125" spans="1:1" x14ac:dyDescent="0.35">
      <c r="A125" s="19" t="str">
        <f t="shared" si="1"/>
        <v/>
      </c>
    </row>
    <row r="126" spans="1:1" x14ac:dyDescent="0.35">
      <c r="A126" s="19" t="str">
        <f t="shared" si="1"/>
        <v/>
      </c>
    </row>
    <row r="127" spans="1:1" x14ac:dyDescent="0.35">
      <c r="A127" s="19" t="str">
        <f t="shared" si="1"/>
        <v/>
      </c>
    </row>
    <row r="128" spans="1:1" x14ac:dyDescent="0.35">
      <c r="A128" s="19" t="str">
        <f t="shared" si="1"/>
        <v/>
      </c>
    </row>
    <row r="129" spans="1:1" x14ac:dyDescent="0.35">
      <c r="A129" s="19" t="str">
        <f t="shared" si="1"/>
        <v/>
      </c>
    </row>
    <row r="130" spans="1:1" x14ac:dyDescent="0.35">
      <c r="A130" s="19" t="str">
        <f t="shared" si="1"/>
        <v/>
      </c>
    </row>
    <row r="131" spans="1:1" x14ac:dyDescent="0.35">
      <c r="A131" s="19" t="str">
        <f t="shared" si="1"/>
        <v/>
      </c>
    </row>
    <row r="132" spans="1:1" x14ac:dyDescent="0.35">
      <c r="A132" s="19" t="str">
        <f t="shared" ref="A132:A195" si="2">IF(B132="","",A131+1)</f>
        <v/>
      </c>
    </row>
    <row r="133" spans="1:1" x14ac:dyDescent="0.35">
      <c r="A133" s="19" t="str">
        <f t="shared" si="2"/>
        <v/>
      </c>
    </row>
    <row r="134" spans="1:1" x14ac:dyDescent="0.35">
      <c r="A134" s="19" t="str">
        <f t="shared" si="2"/>
        <v/>
      </c>
    </row>
    <row r="135" spans="1:1" x14ac:dyDescent="0.35">
      <c r="A135" s="19" t="str">
        <f t="shared" si="2"/>
        <v/>
      </c>
    </row>
    <row r="136" spans="1:1" x14ac:dyDescent="0.35">
      <c r="A136" s="19" t="str">
        <f t="shared" si="2"/>
        <v/>
      </c>
    </row>
    <row r="137" spans="1:1" x14ac:dyDescent="0.35">
      <c r="A137" s="19" t="str">
        <f t="shared" si="2"/>
        <v/>
      </c>
    </row>
    <row r="138" spans="1:1" x14ac:dyDescent="0.35">
      <c r="A138" s="19" t="str">
        <f t="shared" si="2"/>
        <v/>
      </c>
    </row>
    <row r="139" spans="1:1" x14ac:dyDescent="0.35">
      <c r="A139" s="19" t="str">
        <f t="shared" si="2"/>
        <v/>
      </c>
    </row>
    <row r="140" spans="1:1" x14ac:dyDescent="0.35">
      <c r="A140" s="19" t="str">
        <f t="shared" si="2"/>
        <v/>
      </c>
    </row>
    <row r="141" spans="1:1" x14ac:dyDescent="0.35">
      <c r="A141" s="19" t="str">
        <f t="shared" si="2"/>
        <v/>
      </c>
    </row>
    <row r="142" spans="1:1" x14ac:dyDescent="0.35">
      <c r="A142" s="19" t="str">
        <f t="shared" si="2"/>
        <v/>
      </c>
    </row>
    <row r="143" spans="1:1" x14ac:dyDescent="0.35">
      <c r="A143" s="19" t="str">
        <f t="shared" si="2"/>
        <v/>
      </c>
    </row>
    <row r="144" spans="1:1" x14ac:dyDescent="0.35">
      <c r="A144" s="19" t="str">
        <f t="shared" si="2"/>
        <v/>
      </c>
    </row>
    <row r="145" spans="1:1" x14ac:dyDescent="0.35">
      <c r="A145" s="19" t="str">
        <f t="shared" si="2"/>
        <v/>
      </c>
    </row>
    <row r="146" spans="1:1" x14ac:dyDescent="0.35">
      <c r="A146" s="19" t="str">
        <f t="shared" si="2"/>
        <v/>
      </c>
    </row>
    <row r="147" spans="1:1" x14ac:dyDescent="0.35">
      <c r="A147" s="19" t="str">
        <f t="shared" si="2"/>
        <v/>
      </c>
    </row>
    <row r="148" spans="1:1" x14ac:dyDescent="0.35">
      <c r="A148" s="19" t="str">
        <f t="shared" si="2"/>
        <v/>
      </c>
    </row>
    <row r="149" spans="1:1" x14ac:dyDescent="0.35">
      <c r="A149" s="19" t="str">
        <f t="shared" si="2"/>
        <v/>
      </c>
    </row>
    <row r="150" spans="1:1" x14ac:dyDescent="0.35">
      <c r="A150" s="19" t="str">
        <f t="shared" si="2"/>
        <v/>
      </c>
    </row>
    <row r="151" spans="1:1" x14ac:dyDescent="0.35">
      <c r="A151" s="19" t="str">
        <f t="shared" si="2"/>
        <v/>
      </c>
    </row>
    <row r="152" spans="1:1" x14ac:dyDescent="0.35">
      <c r="A152" s="19" t="str">
        <f t="shared" si="2"/>
        <v/>
      </c>
    </row>
    <row r="153" spans="1:1" x14ac:dyDescent="0.35">
      <c r="A153" s="19" t="str">
        <f t="shared" si="2"/>
        <v/>
      </c>
    </row>
    <row r="154" spans="1:1" x14ac:dyDescent="0.35">
      <c r="A154" s="19" t="str">
        <f t="shared" si="2"/>
        <v/>
      </c>
    </row>
    <row r="155" spans="1:1" x14ac:dyDescent="0.35">
      <c r="A155" s="19" t="str">
        <f t="shared" si="2"/>
        <v/>
      </c>
    </row>
    <row r="156" spans="1:1" x14ac:dyDescent="0.35">
      <c r="A156" s="19" t="str">
        <f t="shared" si="2"/>
        <v/>
      </c>
    </row>
    <row r="157" spans="1:1" x14ac:dyDescent="0.35">
      <c r="A157" s="19" t="str">
        <f t="shared" si="2"/>
        <v/>
      </c>
    </row>
    <row r="158" spans="1:1" x14ac:dyDescent="0.35">
      <c r="A158" s="19" t="str">
        <f t="shared" si="2"/>
        <v/>
      </c>
    </row>
    <row r="159" spans="1:1" x14ac:dyDescent="0.35">
      <c r="A159" s="19" t="str">
        <f t="shared" si="2"/>
        <v/>
      </c>
    </row>
    <row r="160" spans="1:1" x14ac:dyDescent="0.35">
      <c r="A160" s="19" t="str">
        <f t="shared" si="2"/>
        <v/>
      </c>
    </row>
    <row r="161" spans="1:1" x14ac:dyDescent="0.35">
      <c r="A161" s="19" t="str">
        <f t="shared" si="2"/>
        <v/>
      </c>
    </row>
    <row r="162" spans="1:1" x14ac:dyDescent="0.35">
      <c r="A162" s="19" t="str">
        <f t="shared" si="2"/>
        <v/>
      </c>
    </row>
    <row r="163" spans="1:1" x14ac:dyDescent="0.35">
      <c r="A163" s="19" t="str">
        <f t="shared" si="2"/>
        <v/>
      </c>
    </row>
    <row r="164" spans="1:1" x14ac:dyDescent="0.35">
      <c r="A164" s="19" t="str">
        <f t="shared" si="2"/>
        <v/>
      </c>
    </row>
    <row r="165" spans="1:1" x14ac:dyDescent="0.35">
      <c r="A165" s="19" t="str">
        <f t="shared" si="2"/>
        <v/>
      </c>
    </row>
    <row r="166" spans="1:1" x14ac:dyDescent="0.35">
      <c r="A166" s="19" t="str">
        <f t="shared" si="2"/>
        <v/>
      </c>
    </row>
    <row r="167" spans="1:1" x14ac:dyDescent="0.35">
      <c r="A167" s="19" t="str">
        <f t="shared" si="2"/>
        <v/>
      </c>
    </row>
    <row r="168" spans="1:1" x14ac:dyDescent="0.35">
      <c r="A168" s="19" t="str">
        <f t="shared" si="2"/>
        <v/>
      </c>
    </row>
    <row r="169" spans="1:1" x14ac:dyDescent="0.35">
      <c r="A169" s="19" t="str">
        <f t="shared" si="2"/>
        <v/>
      </c>
    </row>
    <row r="170" spans="1:1" x14ac:dyDescent="0.35">
      <c r="A170" s="19" t="str">
        <f t="shared" si="2"/>
        <v/>
      </c>
    </row>
    <row r="171" spans="1:1" x14ac:dyDescent="0.35">
      <c r="A171" s="19" t="str">
        <f t="shared" si="2"/>
        <v/>
      </c>
    </row>
    <row r="172" spans="1:1" x14ac:dyDescent="0.35">
      <c r="A172" s="19" t="str">
        <f t="shared" si="2"/>
        <v/>
      </c>
    </row>
    <row r="173" spans="1:1" x14ac:dyDescent="0.35">
      <c r="A173" s="19" t="str">
        <f t="shared" si="2"/>
        <v/>
      </c>
    </row>
    <row r="174" spans="1:1" x14ac:dyDescent="0.35">
      <c r="A174" s="19" t="str">
        <f t="shared" si="2"/>
        <v/>
      </c>
    </row>
    <row r="175" spans="1:1" x14ac:dyDescent="0.35">
      <c r="A175" s="19" t="str">
        <f t="shared" si="2"/>
        <v/>
      </c>
    </row>
    <row r="176" spans="1:1" x14ac:dyDescent="0.35">
      <c r="A176" s="19" t="str">
        <f t="shared" si="2"/>
        <v/>
      </c>
    </row>
    <row r="177" spans="1:1" x14ac:dyDescent="0.35">
      <c r="A177" s="19" t="str">
        <f t="shared" si="2"/>
        <v/>
      </c>
    </row>
    <row r="178" spans="1:1" x14ac:dyDescent="0.35">
      <c r="A178" s="19" t="str">
        <f t="shared" si="2"/>
        <v/>
      </c>
    </row>
    <row r="179" spans="1:1" x14ac:dyDescent="0.35">
      <c r="A179" s="19" t="str">
        <f t="shared" si="2"/>
        <v/>
      </c>
    </row>
    <row r="180" spans="1:1" x14ac:dyDescent="0.35">
      <c r="A180" s="19" t="str">
        <f t="shared" si="2"/>
        <v/>
      </c>
    </row>
    <row r="181" spans="1:1" x14ac:dyDescent="0.35">
      <c r="A181" s="19" t="str">
        <f t="shared" si="2"/>
        <v/>
      </c>
    </row>
    <row r="182" spans="1:1" x14ac:dyDescent="0.35">
      <c r="A182" s="19" t="str">
        <f t="shared" si="2"/>
        <v/>
      </c>
    </row>
    <row r="183" spans="1:1" x14ac:dyDescent="0.35">
      <c r="A183" s="19" t="str">
        <f t="shared" si="2"/>
        <v/>
      </c>
    </row>
    <row r="184" spans="1:1" x14ac:dyDescent="0.35">
      <c r="A184" s="19" t="str">
        <f t="shared" si="2"/>
        <v/>
      </c>
    </row>
    <row r="185" spans="1:1" x14ac:dyDescent="0.35">
      <c r="A185" s="19" t="str">
        <f t="shared" si="2"/>
        <v/>
      </c>
    </row>
    <row r="186" spans="1:1" x14ac:dyDescent="0.35">
      <c r="A186" s="19" t="str">
        <f t="shared" si="2"/>
        <v/>
      </c>
    </row>
    <row r="187" spans="1:1" x14ac:dyDescent="0.35">
      <c r="A187" s="19" t="str">
        <f t="shared" si="2"/>
        <v/>
      </c>
    </row>
    <row r="188" spans="1:1" x14ac:dyDescent="0.35">
      <c r="A188" s="19" t="str">
        <f t="shared" si="2"/>
        <v/>
      </c>
    </row>
    <row r="189" spans="1:1" x14ac:dyDescent="0.35">
      <c r="A189" s="19" t="str">
        <f t="shared" si="2"/>
        <v/>
      </c>
    </row>
    <row r="190" spans="1:1" x14ac:dyDescent="0.35">
      <c r="A190" s="19" t="str">
        <f t="shared" si="2"/>
        <v/>
      </c>
    </row>
    <row r="191" spans="1:1" x14ac:dyDescent="0.35">
      <c r="A191" s="19" t="str">
        <f t="shared" si="2"/>
        <v/>
      </c>
    </row>
    <row r="192" spans="1:1" x14ac:dyDescent="0.35">
      <c r="A192" s="19" t="str">
        <f t="shared" si="2"/>
        <v/>
      </c>
    </row>
    <row r="193" spans="1:1" x14ac:dyDescent="0.35">
      <c r="A193" s="19" t="str">
        <f t="shared" si="2"/>
        <v/>
      </c>
    </row>
    <row r="194" spans="1:1" x14ac:dyDescent="0.35">
      <c r="A194" s="19" t="str">
        <f t="shared" si="2"/>
        <v/>
      </c>
    </row>
    <row r="195" spans="1:1" x14ac:dyDescent="0.35">
      <c r="A195" s="19" t="str">
        <f t="shared" si="2"/>
        <v/>
      </c>
    </row>
    <row r="196" spans="1:1" x14ac:dyDescent="0.35">
      <c r="A196" s="19" t="str">
        <f t="shared" ref="A196:A259" si="3">IF(B196="","",A195+1)</f>
        <v/>
      </c>
    </row>
    <row r="197" spans="1:1" x14ac:dyDescent="0.35">
      <c r="A197" s="19" t="str">
        <f t="shared" si="3"/>
        <v/>
      </c>
    </row>
    <row r="198" spans="1:1" x14ac:dyDescent="0.35">
      <c r="A198" s="19" t="str">
        <f t="shared" si="3"/>
        <v/>
      </c>
    </row>
    <row r="199" spans="1:1" x14ac:dyDescent="0.35">
      <c r="A199" s="19" t="str">
        <f t="shared" si="3"/>
        <v/>
      </c>
    </row>
    <row r="200" spans="1:1" x14ac:dyDescent="0.35">
      <c r="A200" s="19" t="str">
        <f t="shared" si="3"/>
        <v/>
      </c>
    </row>
    <row r="201" spans="1:1" x14ac:dyDescent="0.35">
      <c r="A201" s="19" t="str">
        <f t="shared" si="3"/>
        <v/>
      </c>
    </row>
    <row r="202" spans="1:1" x14ac:dyDescent="0.35">
      <c r="A202" s="19" t="str">
        <f t="shared" si="3"/>
        <v/>
      </c>
    </row>
    <row r="203" spans="1:1" x14ac:dyDescent="0.35">
      <c r="A203" s="19" t="str">
        <f t="shared" si="3"/>
        <v/>
      </c>
    </row>
    <row r="204" spans="1:1" x14ac:dyDescent="0.35">
      <c r="A204" s="19" t="str">
        <f t="shared" si="3"/>
        <v/>
      </c>
    </row>
    <row r="205" spans="1:1" x14ac:dyDescent="0.35">
      <c r="A205" s="19" t="str">
        <f t="shared" si="3"/>
        <v/>
      </c>
    </row>
    <row r="206" spans="1:1" x14ac:dyDescent="0.35">
      <c r="A206" s="19" t="str">
        <f t="shared" si="3"/>
        <v/>
      </c>
    </row>
    <row r="207" spans="1:1" x14ac:dyDescent="0.35">
      <c r="A207" s="19" t="str">
        <f t="shared" si="3"/>
        <v/>
      </c>
    </row>
    <row r="208" spans="1:1" x14ac:dyDescent="0.35">
      <c r="A208" s="19" t="str">
        <f t="shared" si="3"/>
        <v/>
      </c>
    </row>
    <row r="209" spans="1:1" x14ac:dyDescent="0.35">
      <c r="A209" s="19" t="str">
        <f t="shared" si="3"/>
        <v/>
      </c>
    </row>
    <row r="210" spans="1:1" x14ac:dyDescent="0.35">
      <c r="A210" s="19" t="str">
        <f t="shared" si="3"/>
        <v/>
      </c>
    </row>
    <row r="211" spans="1:1" x14ac:dyDescent="0.35">
      <c r="A211" s="19" t="str">
        <f t="shared" si="3"/>
        <v/>
      </c>
    </row>
    <row r="212" spans="1:1" x14ac:dyDescent="0.35">
      <c r="A212" s="19" t="str">
        <f t="shared" si="3"/>
        <v/>
      </c>
    </row>
    <row r="213" spans="1:1" x14ac:dyDescent="0.35">
      <c r="A213" s="19" t="str">
        <f t="shared" si="3"/>
        <v/>
      </c>
    </row>
    <row r="214" spans="1:1" x14ac:dyDescent="0.35">
      <c r="A214" s="19" t="str">
        <f t="shared" si="3"/>
        <v/>
      </c>
    </row>
    <row r="215" spans="1:1" x14ac:dyDescent="0.35">
      <c r="A215" s="19" t="str">
        <f t="shared" si="3"/>
        <v/>
      </c>
    </row>
    <row r="216" spans="1:1" x14ac:dyDescent="0.35">
      <c r="A216" s="19" t="str">
        <f t="shared" si="3"/>
        <v/>
      </c>
    </row>
    <row r="217" spans="1:1" x14ac:dyDescent="0.35">
      <c r="A217" s="19" t="str">
        <f t="shared" si="3"/>
        <v/>
      </c>
    </row>
    <row r="218" spans="1:1" x14ac:dyDescent="0.35">
      <c r="A218" s="19" t="str">
        <f t="shared" si="3"/>
        <v/>
      </c>
    </row>
    <row r="219" spans="1:1" x14ac:dyDescent="0.35">
      <c r="A219" s="19" t="str">
        <f t="shared" si="3"/>
        <v/>
      </c>
    </row>
    <row r="220" spans="1:1" x14ac:dyDescent="0.35">
      <c r="A220" s="19" t="str">
        <f t="shared" si="3"/>
        <v/>
      </c>
    </row>
    <row r="221" spans="1:1" x14ac:dyDescent="0.35">
      <c r="A221" s="19" t="str">
        <f t="shared" si="3"/>
        <v/>
      </c>
    </row>
    <row r="222" spans="1:1" x14ac:dyDescent="0.35">
      <c r="A222" s="19" t="str">
        <f t="shared" si="3"/>
        <v/>
      </c>
    </row>
    <row r="223" spans="1:1" x14ac:dyDescent="0.35">
      <c r="A223" s="19" t="str">
        <f t="shared" si="3"/>
        <v/>
      </c>
    </row>
    <row r="224" spans="1:1" x14ac:dyDescent="0.35">
      <c r="A224" s="19" t="str">
        <f t="shared" si="3"/>
        <v/>
      </c>
    </row>
    <row r="225" spans="1:1" x14ac:dyDescent="0.35">
      <c r="A225" s="19" t="str">
        <f t="shared" si="3"/>
        <v/>
      </c>
    </row>
    <row r="226" spans="1:1" x14ac:dyDescent="0.35">
      <c r="A226" s="19" t="str">
        <f t="shared" si="3"/>
        <v/>
      </c>
    </row>
    <row r="227" spans="1:1" x14ac:dyDescent="0.35">
      <c r="A227" s="19" t="str">
        <f t="shared" si="3"/>
        <v/>
      </c>
    </row>
    <row r="228" spans="1:1" x14ac:dyDescent="0.35">
      <c r="A228" s="19" t="str">
        <f t="shared" si="3"/>
        <v/>
      </c>
    </row>
    <row r="229" spans="1:1" x14ac:dyDescent="0.35">
      <c r="A229" s="19" t="str">
        <f t="shared" si="3"/>
        <v/>
      </c>
    </row>
    <row r="230" spans="1:1" x14ac:dyDescent="0.35">
      <c r="A230" s="19" t="str">
        <f t="shared" si="3"/>
        <v/>
      </c>
    </row>
    <row r="231" spans="1:1" x14ac:dyDescent="0.35">
      <c r="A231" s="19" t="str">
        <f t="shared" si="3"/>
        <v/>
      </c>
    </row>
    <row r="232" spans="1:1" x14ac:dyDescent="0.35">
      <c r="A232" s="19" t="str">
        <f t="shared" si="3"/>
        <v/>
      </c>
    </row>
    <row r="233" spans="1:1" x14ac:dyDescent="0.35">
      <c r="A233" s="19" t="str">
        <f t="shared" si="3"/>
        <v/>
      </c>
    </row>
    <row r="234" spans="1:1" x14ac:dyDescent="0.35">
      <c r="A234" s="19" t="str">
        <f t="shared" si="3"/>
        <v/>
      </c>
    </row>
    <row r="235" spans="1:1" x14ac:dyDescent="0.35">
      <c r="A235" s="19" t="str">
        <f t="shared" si="3"/>
        <v/>
      </c>
    </row>
    <row r="236" spans="1:1" x14ac:dyDescent="0.35">
      <c r="A236" s="19" t="str">
        <f t="shared" si="3"/>
        <v/>
      </c>
    </row>
    <row r="237" spans="1:1" x14ac:dyDescent="0.35">
      <c r="A237" s="19" t="str">
        <f t="shared" si="3"/>
        <v/>
      </c>
    </row>
    <row r="238" spans="1:1" x14ac:dyDescent="0.35">
      <c r="A238" s="19" t="str">
        <f t="shared" si="3"/>
        <v/>
      </c>
    </row>
    <row r="239" spans="1:1" x14ac:dyDescent="0.35">
      <c r="A239" s="19" t="str">
        <f t="shared" si="3"/>
        <v/>
      </c>
    </row>
    <row r="240" spans="1:1" x14ac:dyDescent="0.35">
      <c r="A240" s="19" t="str">
        <f t="shared" si="3"/>
        <v/>
      </c>
    </row>
    <row r="241" spans="1:1" x14ac:dyDescent="0.35">
      <c r="A241" s="19" t="str">
        <f t="shared" si="3"/>
        <v/>
      </c>
    </row>
    <row r="242" spans="1:1" x14ac:dyDescent="0.35">
      <c r="A242" s="19" t="str">
        <f t="shared" si="3"/>
        <v/>
      </c>
    </row>
    <row r="243" spans="1:1" x14ac:dyDescent="0.35">
      <c r="A243" s="19" t="str">
        <f t="shared" si="3"/>
        <v/>
      </c>
    </row>
    <row r="244" spans="1:1" x14ac:dyDescent="0.35">
      <c r="A244" s="19" t="str">
        <f t="shared" si="3"/>
        <v/>
      </c>
    </row>
    <row r="245" spans="1:1" x14ac:dyDescent="0.35">
      <c r="A245" s="19" t="str">
        <f t="shared" si="3"/>
        <v/>
      </c>
    </row>
    <row r="246" spans="1:1" x14ac:dyDescent="0.35">
      <c r="A246" s="19" t="str">
        <f t="shared" si="3"/>
        <v/>
      </c>
    </row>
    <row r="247" spans="1:1" x14ac:dyDescent="0.35">
      <c r="A247" s="19" t="str">
        <f t="shared" si="3"/>
        <v/>
      </c>
    </row>
    <row r="248" spans="1:1" x14ac:dyDescent="0.35">
      <c r="A248" s="19" t="str">
        <f t="shared" si="3"/>
        <v/>
      </c>
    </row>
    <row r="249" spans="1:1" x14ac:dyDescent="0.35">
      <c r="A249" s="19" t="str">
        <f t="shared" si="3"/>
        <v/>
      </c>
    </row>
    <row r="250" spans="1:1" x14ac:dyDescent="0.35">
      <c r="A250" s="19" t="str">
        <f t="shared" si="3"/>
        <v/>
      </c>
    </row>
    <row r="251" spans="1:1" x14ac:dyDescent="0.35">
      <c r="A251" s="19" t="str">
        <f t="shared" si="3"/>
        <v/>
      </c>
    </row>
    <row r="252" spans="1:1" x14ac:dyDescent="0.35">
      <c r="A252" s="19" t="str">
        <f t="shared" si="3"/>
        <v/>
      </c>
    </row>
    <row r="253" spans="1:1" x14ac:dyDescent="0.35">
      <c r="A253" s="19" t="str">
        <f t="shared" si="3"/>
        <v/>
      </c>
    </row>
    <row r="254" spans="1:1" x14ac:dyDescent="0.35">
      <c r="A254" s="19" t="str">
        <f t="shared" si="3"/>
        <v/>
      </c>
    </row>
    <row r="255" spans="1:1" x14ac:dyDescent="0.35">
      <c r="A255" s="19" t="str">
        <f t="shared" si="3"/>
        <v/>
      </c>
    </row>
    <row r="256" spans="1:1" x14ac:dyDescent="0.35">
      <c r="A256" s="19" t="str">
        <f t="shared" si="3"/>
        <v/>
      </c>
    </row>
    <row r="257" spans="1:1" x14ac:dyDescent="0.35">
      <c r="A257" s="19" t="str">
        <f t="shared" si="3"/>
        <v/>
      </c>
    </row>
    <row r="258" spans="1:1" x14ac:dyDescent="0.35">
      <c r="A258" s="19" t="str">
        <f t="shared" si="3"/>
        <v/>
      </c>
    </row>
    <row r="259" spans="1:1" x14ac:dyDescent="0.35">
      <c r="A259" s="19" t="str">
        <f t="shared" si="3"/>
        <v/>
      </c>
    </row>
    <row r="260" spans="1:1" x14ac:dyDescent="0.35">
      <c r="A260" s="19" t="str">
        <f t="shared" ref="A260:A300" si="4">IF(B260="","",A259+1)</f>
        <v/>
      </c>
    </row>
    <row r="261" spans="1:1" x14ac:dyDescent="0.35">
      <c r="A261" s="19" t="str">
        <f t="shared" si="4"/>
        <v/>
      </c>
    </row>
    <row r="262" spans="1:1" x14ac:dyDescent="0.35">
      <c r="A262" s="19" t="str">
        <f t="shared" si="4"/>
        <v/>
      </c>
    </row>
    <row r="263" spans="1:1" x14ac:dyDescent="0.35">
      <c r="A263" s="19" t="str">
        <f t="shared" si="4"/>
        <v/>
      </c>
    </row>
    <row r="264" spans="1:1" x14ac:dyDescent="0.35">
      <c r="A264" s="19" t="str">
        <f t="shared" si="4"/>
        <v/>
      </c>
    </row>
    <row r="265" spans="1:1" x14ac:dyDescent="0.35">
      <c r="A265" s="19" t="str">
        <f t="shared" si="4"/>
        <v/>
      </c>
    </row>
    <row r="266" spans="1:1" x14ac:dyDescent="0.35">
      <c r="A266" s="19" t="str">
        <f t="shared" si="4"/>
        <v/>
      </c>
    </row>
    <row r="267" spans="1:1" x14ac:dyDescent="0.35">
      <c r="A267" s="19" t="str">
        <f t="shared" si="4"/>
        <v/>
      </c>
    </row>
    <row r="268" spans="1:1" x14ac:dyDescent="0.35">
      <c r="A268" s="19" t="str">
        <f t="shared" si="4"/>
        <v/>
      </c>
    </row>
    <row r="269" spans="1:1" x14ac:dyDescent="0.35">
      <c r="A269" s="19" t="str">
        <f t="shared" si="4"/>
        <v/>
      </c>
    </row>
    <row r="270" spans="1:1" x14ac:dyDescent="0.35">
      <c r="A270" s="19" t="str">
        <f t="shared" si="4"/>
        <v/>
      </c>
    </row>
    <row r="271" spans="1:1" x14ac:dyDescent="0.35">
      <c r="A271" s="19" t="str">
        <f t="shared" si="4"/>
        <v/>
      </c>
    </row>
    <row r="272" spans="1:1" x14ac:dyDescent="0.35">
      <c r="A272" s="19" t="str">
        <f t="shared" si="4"/>
        <v/>
      </c>
    </row>
    <row r="273" spans="1:1" x14ac:dyDescent="0.35">
      <c r="A273" s="19" t="str">
        <f t="shared" si="4"/>
        <v/>
      </c>
    </row>
    <row r="274" spans="1:1" x14ac:dyDescent="0.35">
      <c r="A274" s="19" t="str">
        <f t="shared" si="4"/>
        <v/>
      </c>
    </row>
    <row r="275" spans="1:1" x14ac:dyDescent="0.35">
      <c r="A275" s="19" t="str">
        <f t="shared" si="4"/>
        <v/>
      </c>
    </row>
    <row r="276" spans="1:1" x14ac:dyDescent="0.35">
      <c r="A276" s="19" t="str">
        <f t="shared" si="4"/>
        <v/>
      </c>
    </row>
    <row r="277" spans="1:1" x14ac:dyDescent="0.35">
      <c r="A277" s="19" t="str">
        <f t="shared" si="4"/>
        <v/>
      </c>
    </row>
    <row r="278" spans="1:1" x14ac:dyDescent="0.35">
      <c r="A278" s="19" t="str">
        <f t="shared" si="4"/>
        <v/>
      </c>
    </row>
    <row r="279" spans="1:1" x14ac:dyDescent="0.35">
      <c r="A279" s="19" t="str">
        <f t="shared" si="4"/>
        <v/>
      </c>
    </row>
    <row r="280" spans="1:1" x14ac:dyDescent="0.35">
      <c r="A280" s="19" t="str">
        <f t="shared" si="4"/>
        <v/>
      </c>
    </row>
    <row r="281" spans="1:1" x14ac:dyDescent="0.35">
      <c r="A281" s="19" t="str">
        <f t="shared" si="4"/>
        <v/>
      </c>
    </row>
    <row r="282" spans="1:1" x14ac:dyDescent="0.35">
      <c r="A282" s="19" t="str">
        <f t="shared" si="4"/>
        <v/>
      </c>
    </row>
    <row r="283" spans="1:1" x14ac:dyDescent="0.35">
      <c r="A283" s="19" t="str">
        <f t="shared" si="4"/>
        <v/>
      </c>
    </row>
    <row r="284" spans="1:1" x14ac:dyDescent="0.35">
      <c r="A284" s="19" t="str">
        <f t="shared" si="4"/>
        <v/>
      </c>
    </row>
    <row r="285" spans="1:1" x14ac:dyDescent="0.35">
      <c r="A285" s="19" t="str">
        <f t="shared" si="4"/>
        <v/>
      </c>
    </row>
    <row r="286" spans="1:1" x14ac:dyDescent="0.35">
      <c r="A286" s="19" t="str">
        <f t="shared" si="4"/>
        <v/>
      </c>
    </row>
    <row r="287" spans="1:1" x14ac:dyDescent="0.35">
      <c r="A287" s="19" t="str">
        <f t="shared" si="4"/>
        <v/>
      </c>
    </row>
    <row r="288" spans="1:1" x14ac:dyDescent="0.35">
      <c r="A288" s="19" t="str">
        <f t="shared" si="4"/>
        <v/>
      </c>
    </row>
    <row r="289" spans="1:1" x14ac:dyDescent="0.35">
      <c r="A289" s="19" t="str">
        <f t="shared" si="4"/>
        <v/>
      </c>
    </row>
    <row r="290" spans="1:1" x14ac:dyDescent="0.35">
      <c r="A290" s="19" t="str">
        <f t="shared" si="4"/>
        <v/>
      </c>
    </row>
    <row r="291" spans="1:1" x14ac:dyDescent="0.35">
      <c r="A291" s="19" t="str">
        <f t="shared" si="4"/>
        <v/>
      </c>
    </row>
    <row r="292" spans="1:1" x14ac:dyDescent="0.35">
      <c r="A292" s="19" t="str">
        <f t="shared" si="4"/>
        <v/>
      </c>
    </row>
    <row r="293" spans="1:1" x14ac:dyDescent="0.35">
      <c r="A293" s="19" t="str">
        <f t="shared" si="4"/>
        <v/>
      </c>
    </row>
    <row r="294" spans="1:1" x14ac:dyDescent="0.35">
      <c r="A294" s="19" t="str">
        <f t="shared" si="4"/>
        <v/>
      </c>
    </row>
    <row r="295" spans="1:1" x14ac:dyDescent="0.35">
      <c r="A295" s="19" t="str">
        <f t="shared" si="4"/>
        <v/>
      </c>
    </row>
    <row r="296" spans="1:1" x14ac:dyDescent="0.35">
      <c r="A296" s="19" t="str">
        <f t="shared" si="4"/>
        <v/>
      </c>
    </row>
    <row r="297" spans="1:1" x14ac:dyDescent="0.35">
      <c r="A297" s="19" t="str">
        <f t="shared" si="4"/>
        <v/>
      </c>
    </row>
    <row r="298" spans="1:1" x14ac:dyDescent="0.35">
      <c r="A298" s="19" t="str">
        <f t="shared" si="4"/>
        <v/>
      </c>
    </row>
    <row r="299" spans="1:1" x14ac:dyDescent="0.35">
      <c r="A299" s="19" t="str">
        <f t="shared" si="4"/>
        <v/>
      </c>
    </row>
    <row r="300" spans="1:1" x14ac:dyDescent="0.35">
      <c r="A300" s="19" t="str">
        <f t="shared" si="4"/>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indicators</vt:lpstr>
      <vt:lpstr>derivedvars</vt:lpstr>
      <vt:lpstr>other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COWAN, Melanie</cp:lastModifiedBy>
  <dcterms:created xsi:type="dcterms:W3CDTF">2023-12-14T22:38:11Z</dcterms:created>
  <dcterms:modified xsi:type="dcterms:W3CDTF">2026-02-10T08:18:21Z</dcterms:modified>
</cp:coreProperties>
</file>