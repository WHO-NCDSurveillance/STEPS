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drawings/drawing12.xml" ContentType="application/vnd.openxmlformats-officedocument.drawingml.chartshapes+xml"/>
  <Override PartName="/xl/charts/chart15.xml" ContentType="application/vnd.openxmlformats-officedocument.drawingml.chart+xml"/>
  <Override PartName="/xl/drawings/drawing13.xml" ContentType="application/vnd.openxmlformats-officedocument.drawingml.chartshapes+xml"/>
  <Override PartName="/xl/charts/chart16.xml" ContentType="application/vnd.openxmlformats-officedocument.drawingml.chart+xml"/>
  <Override PartName="/xl/drawings/drawing14.xml" ContentType="application/vnd.openxmlformats-officedocument.drawingml.chartshapes+xml"/>
  <Override PartName="/xl/charts/chart17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ml.chartshapes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drawings/drawing18.xml" ContentType="application/vnd.openxmlformats-officedocument.drawingml.chartshapes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8.xml" ContentType="application/vnd.openxmlformats-officedocument.drawingml.chart+xml"/>
  <Override PartName="/xl/drawings/drawing20.xml" ContentType="application/vnd.openxmlformats-officedocument.drawingml.chartshapes+xml"/>
  <Override PartName="/xl/charts/chart29.xml" ContentType="application/vnd.openxmlformats-officedocument.drawingml.chart+xml"/>
  <Override PartName="/xl/drawings/drawing21.xml" ContentType="application/vnd.openxmlformats-officedocument.drawingml.chartshapes+xml"/>
  <Override PartName="/xl/charts/chart30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31.xml" ContentType="application/vnd.openxmlformats-officedocument.drawingml.chart+xml"/>
  <Override PartName="/xl/drawings/drawing24.xml" ContentType="application/vnd.openxmlformats-officedocument.drawingml.chartshapes+xml"/>
  <Override PartName="/xl/charts/chart32.xml" ContentType="application/vnd.openxmlformats-officedocument.drawingml.chart+xml"/>
  <Override PartName="/xl/drawings/drawing25.xml" ContentType="application/vnd.openxmlformats-officedocument.drawingml.chartshapes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drawings/drawing26.xml" ContentType="application/vnd.openxmlformats-officedocument.drawingml.chartshapes+xml"/>
  <Override PartName="/xl/charts/chart36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3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8.xml" ContentType="application/vnd.openxmlformats-officedocument.drawingml.chart+xml"/>
  <Override PartName="/xl/drawings/drawing29.xml" ContentType="application/vnd.openxmlformats-officedocument.drawingml.chartshapes+xml"/>
  <Override PartName="/xl/charts/chart39.xml" ContentType="application/vnd.openxmlformats-officedocument.drawingml.chart+xml"/>
  <Override PartName="/xl/drawings/drawing30.xml" ContentType="application/vnd.openxmlformats-officedocument.drawingml.chartshapes+xml"/>
  <Override PartName="/xl/charts/chart40.xml" ContentType="application/vnd.openxmlformats-officedocument.drawingml.chart+xml"/>
  <Override PartName="/xl/drawings/drawing31.xml" ContentType="application/vnd.openxmlformats-officedocument.drawingml.chartshapes+xml"/>
  <Override PartName="/xl/charts/chart41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4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3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44.xml" ContentType="application/vnd.openxmlformats-officedocument.drawingml.chart+xml"/>
  <Override PartName="/xl/drawings/drawing36.xml" ContentType="application/vnd.openxmlformats-officedocument.drawingml.chartshapes+xml"/>
  <Override PartName="/xl/charts/chart4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6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4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R\Latest from Lucas\templates\"/>
    </mc:Choice>
  </mc:AlternateContent>
  <xr:revisionPtr revIDLastSave="0" documentId="13_ncr:1_{5EA27ADE-576F-44A0-8A0F-0BD373F65396}" xr6:coauthVersionLast="47" xr6:coauthVersionMax="47" xr10:uidLastSave="{00000000-0000-0000-0000-000000000000}"/>
  <bookViews>
    <workbookView xWindow="-120" yWindow="-120" windowWidth="29040" windowHeight="15720" tabRatio="899" xr2:uid="{FAD75787-D7FF-45FF-86DB-E0E6F4E490F5}"/>
  </bookViews>
  <sheets>
    <sheet name="data" sheetId="2" r:id="rId1"/>
    <sheet name="Tobacco" sheetId="1" r:id="rId2"/>
    <sheet name="Alcohol Use" sheetId="3" r:id="rId3"/>
    <sheet name="Diet" sheetId="4" r:id="rId4"/>
    <sheet name="Physical Activity" sheetId="6" r:id="rId5"/>
    <sheet name="BMI" sheetId="7" r:id="rId6"/>
    <sheet name="Raised blood pressure" sheetId="8" r:id="rId7"/>
    <sheet name="Diabetes" sheetId="9" r:id="rId8"/>
    <sheet name="Raised cholesterol" sheetId="10" r:id="rId9"/>
    <sheet name="Cardiovascular disease" sheetId="11" r:id="rId10"/>
    <sheet name="Lifestyle advice" sheetId="12" r:id="rId11"/>
    <sheet name="Multiple risk factors" sheetId="13" r:id="rId12"/>
  </sheets>
  <externalReferences>
    <externalReference r:id="rId13"/>
  </externalReferences>
  <definedNames>
    <definedName name="_xlnm.Print_Area" localSheetId="1">Tobacco!$A$1:$L$37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3" l="1"/>
  <c r="A108" i="2"/>
  <c r="A85" i="2"/>
  <c r="A84" i="2"/>
  <c r="A83" i="2"/>
  <c r="A77" i="2"/>
  <c r="A71" i="2"/>
  <c r="A63" i="2"/>
  <c r="A62" i="2"/>
  <c r="A100" i="2"/>
  <c r="A99" i="2"/>
  <c r="A98" i="2"/>
  <c r="A97" i="2"/>
  <c r="A96" i="2"/>
  <c r="A95" i="2"/>
  <c r="B100" i="2"/>
  <c r="B99" i="2"/>
  <c r="B98" i="2"/>
  <c r="B97" i="2"/>
  <c r="B96" i="2"/>
  <c r="B95" i="2"/>
  <c r="B38" i="2"/>
  <c r="C38" i="2" s="1"/>
  <c r="B51" i="2"/>
  <c r="A89" i="2"/>
  <c r="B82" i="2"/>
  <c r="C82" i="2" s="1"/>
  <c r="B81" i="2"/>
  <c r="C81" i="2" s="1"/>
  <c r="B80" i="2"/>
  <c r="C80" i="2" s="1"/>
  <c r="A82" i="2"/>
  <c r="A81" i="2"/>
  <c r="B76" i="2"/>
  <c r="A76" i="2"/>
  <c r="A75" i="2"/>
  <c r="B75" i="2"/>
  <c r="C75" i="2" s="1"/>
  <c r="B70" i="2"/>
  <c r="C70" i="2" s="1"/>
  <c r="B69" i="2"/>
  <c r="C69" i="2" s="1"/>
  <c r="B68" i="2"/>
  <c r="C68" i="2" s="1"/>
  <c r="A70" i="2"/>
  <c r="A69" i="2"/>
  <c r="A68" i="2"/>
  <c r="A67" i="2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A61" i="2"/>
  <c r="A60" i="2"/>
  <c r="A59" i="2"/>
  <c r="A58" i="2"/>
  <c r="A57" i="2"/>
  <c r="A56" i="2"/>
  <c r="A93" i="2"/>
  <c r="A43" i="2"/>
  <c r="A42" i="2"/>
  <c r="A53" i="2"/>
  <c r="A52" i="2"/>
  <c r="B49" i="2"/>
  <c r="C49" i="2" s="1"/>
  <c r="B48" i="2"/>
  <c r="A49" i="2"/>
  <c r="A48" i="2"/>
  <c r="A32" i="2"/>
  <c r="A33" i="2"/>
  <c r="A26" i="2"/>
  <c r="A24" i="2"/>
  <c r="B7" i="2"/>
  <c r="C7" i="2" s="1"/>
  <c r="D7" i="2" s="1"/>
  <c r="A7" i="2"/>
  <c r="A8" i="2"/>
  <c r="C52" i="2" l="1"/>
  <c r="A5" i="2" l="1"/>
  <c r="A3" i="2"/>
  <c r="B104" i="2" l="1"/>
  <c r="C104" i="2" s="1"/>
  <c r="D104" i="2" s="1"/>
  <c r="A104" i="2"/>
  <c r="B103" i="2"/>
  <c r="C103" i="2" s="1"/>
  <c r="D103" i="2" s="1"/>
  <c r="A103" i="2"/>
  <c r="C95" i="2"/>
  <c r="D95" i="2" s="1"/>
  <c r="B94" i="2"/>
  <c r="A94" i="2"/>
  <c r="B88" i="2"/>
  <c r="C88" i="2" s="1"/>
  <c r="D88" i="2" s="1"/>
  <c r="A88" i="2"/>
  <c r="D81" i="2"/>
  <c r="D80" i="2"/>
  <c r="A80" i="2"/>
  <c r="A79" i="2"/>
  <c r="A1" i="10" s="1"/>
  <c r="B107" i="2"/>
  <c r="C107" i="2" s="1"/>
  <c r="D107" i="2" s="1"/>
  <c r="B106" i="2"/>
  <c r="C106" i="2" s="1"/>
  <c r="D106" i="2" s="1"/>
  <c r="B105" i="2"/>
  <c r="C105" i="2" s="1"/>
  <c r="D105" i="2" s="1"/>
  <c r="A107" i="2"/>
  <c r="A106" i="2"/>
  <c r="A105" i="2"/>
  <c r="C100" i="2"/>
  <c r="D100" i="2" s="1"/>
  <c r="A102" i="2"/>
  <c r="B1" i="13" s="1"/>
  <c r="A92" i="2"/>
  <c r="B2" i="12" s="1"/>
  <c r="B90" i="2"/>
  <c r="A90" i="2"/>
  <c r="D82" i="2"/>
  <c r="A87" i="2"/>
  <c r="A2" i="11" s="1"/>
  <c r="B74" i="2"/>
  <c r="C74" i="2" s="1"/>
  <c r="A74" i="2"/>
  <c r="A73" i="2"/>
  <c r="A2" i="9" s="1"/>
  <c r="D70" i="2"/>
  <c r="A66" i="2"/>
  <c r="B33" i="2"/>
  <c r="B5" i="4" s="1"/>
  <c r="B34" i="2"/>
  <c r="B11" i="4" s="1"/>
  <c r="A65" i="2" l="1"/>
  <c r="A1" i="8" s="1"/>
  <c r="A55" i="2"/>
  <c r="A2" i="7" s="1"/>
  <c r="A51" i="2"/>
  <c r="A50" i="2"/>
  <c r="A47" i="2"/>
  <c r="A46" i="2"/>
  <c r="A45" i="2"/>
  <c r="A44" i="2"/>
  <c r="A41" i="2"/>
  <c r="A40" i="2"/>
  <c r="B2" i="6" s="1"/>
  <c r="A38" i="2"/>
  <c r="A37" i="2"/>
  <c r="A36" i="2"/>
  <c r="A35" i="2"/>
  <c r="A34" i="2"/>
  <c r="A31" i="2"/>
  <c r="B2" i="4" s="1"/>
  <c r="A29" i="2"/>
  <c r="A28" i="2"/>
  <c r="A27" i="2"/>
  <c r="A25" i="2"/>
  <c r="A23" i="2"/>
  <c r="A22" i="2"/>
  <c r="A21" i="2"/>
  <c r="A20" i="2"/>
  <c r="A19" i="2"/>
  <c r="A18" i="2"/>
  <c r="B2" i="3" s="1"/>
  <c r="A2" i="2"/>
  <c r="B2" i="1" s="1"/>
  <c r="A16" i="2"/>
  <c r="A15" i="2"/>
  <c r="A14" i="2"/>
  <c r="A13" i="2"/>
  <c r="A12" i="2"/>
  <c r="A11" i="2"/>
  <c r="A10" i="2"/>
  <c r="A9" i="2"/>
  <c r="A6" i="2"/>
  <c r="A4" i="2"/>
  <c r="B66" i="2"/>
  <c r="C99" i="2"/>
  <c r="D99" i="2" s="1"/>
  <c r="C98" i="2"/>
  <c r="D98" i="2" s="1"/>
  <c r="C97" i="2"/>
  <c r="D97" i="2" s="1"/>
  <c r="C96" i="2"/>
  <c r="D96" i="2" s="1"/>
  <c r="C94" i="2"/>
  <c r="D94" i="2" s="1"/>
  <c r="C90" i="2"/>
  <c r="D90" i="2" s="1"/>
  <c r="D74" i="2"/>
  <c r="D69" i="2"/>
  <c r="D68" i="2"/>
  <c r="D61" i="2"/>
  <c r="D60" i="2"/>
  <c r="D59" i="2"/>
  <c r="D58" i="2"/>
  <c r="D57" i="2"/>
  <c r="D56" i="2"/>
  <c r="B50" i="2"/>
  <c r="D49" i="2"/>
  <c r="B47" i="2"/>
  <c r="B46" i="2"/>
  <c r="B45" i="2"/>
  <c r="B44" i="2"/>
  <c r="B41" i="2"/>
  <c r="B37" i="2"/>
  <c r="C37" i="2" s="1"/>
  <c r="B36" i="2"/>
  <c r="C36" i="2" s="1"/>
  <c r="D36" i="2" s="1"/>
  <c r="B35" i="2"/>
  <c r="C35" i="2" s="1"/>
  <c r="D35" i="2" s="1"/>
  <c r="C33" i="2"/>
  <c r="B29" i="2"/>
  <c r="B28" i="2"/>
  <c r="B27" i="2"/>
  <c r="B25" i="2"/>
  <c r="B23" i="2"/>
  <c r="C23" i="2" s="1"/>
  <c r="D23" i="2" s="1"/>
  <c r="B22" i="2"/>
  <c r="C22" i="2" s="1"/>
  <c r="D22" i="2" s="1"/>
  <c r="B21" i="2"/>
  <c r="B20" i="2"/>
  <c r="B19" i="2"/>
  <c r="C19" i="2" s="1"/>
  <c r="D19" i="2" s="1"/>
  <c r="B16" i="2"/>
  <c r="C16" i="2" s="1"/>
  <c r="B15" i="2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5" i="2"/>
  <c r="C5" i="2" s="1"/>
  <c r="B4" i="2"/>
  <c r="B3" i="2"/>
  <c r="C3" i="2" s="1"/>
  <c r="D3" i="2" s="1"/>
  <c r="D75" i="2"/>
  <c r="C50" i="2" l="1"/>
  <c r="D50" i="2" s="1"/>
  <c r="C66" i="2"/>
  <c r="D66" i="2" s="1"/>
  <c r="C41" i="2"/>
  <c r="D41" i="2" s="1"/>
  <c r="C44" i="2"/>
  <c r="D44" i="2" s="1"/>
  <c r="C48" i="2"/>
  <c r="D48" i="2" s="1"/>
  <c r="C45" i="2"/>
  <c r="D45" i="2" s="1"/>
  <c r="C46" i="2"/>
  <c r="D46" i="2" s="1"/>
  <c r="C47" i="2"/>
  <c r="D47" i="2" s="1"/>
  <c r="D13" i="2"/>
  <c r="E13" i="2"/>
  <c r="D14" i="2"/>
  <c r="E14" i="2"/>
  <c r="E5" i="2"/>
  <c r="D5" i="2"/>
  <c r="C15" i="2"/>
  <c r="D15" i="2" s="1"/>
  <c r="D32" i="1"/>
  <c r="C4" i="2"/>
  <c r="D4" i="2" s="1"/>
  <c r="E4" i="2"/>
  <c r="D11" i="2"/>
  <c r="B8" i="1"/>
  <c r="D12" i="2"/>
  <c r="D8" i="2"/>
  <c r="E20" i="2"/>
  <c r="E21" i="2"/>
  <c r="D16" i="2"/>
  <c r="C25" i="2"/>
  <c r="D25" i="2" s="1"/>
  <c r="C20" i="2"/>
  <c r="D20" i="2" s="1"/>
  <c r="E23" i="2"/>
  <c r="D9" i="2"/>
  <c r="D37" i="2"/>
  <c r="E36" i="2"/>
  <c r="C34" i="2"/>
  <c r="E22" i="2"/>
  <c r="C21" i="2"/>
  <c r="D21" i="2" s="1"/>
  <c r="D10" i="2"/>
</calcChain>
</file>

<file path=xl/sharedStrings.xml><?xml version="1.0" encoding="utf-8"?>
<sst xmlns="http://schemas.openxmlformats.org/spreadsheetml/2006/main" count="5" uniqueCount="5">
  <si>
    <t>icons</t>
  </si>
  <si>
    <t>col3</t>
  </si>
  <si>
    <t>col4</t>
  </si>
  <si>
    <t>col5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</si>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</sst>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#,##0.0_);\(#,##0.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0"/>
      <color theme="0"/>
      <name val="Calibri"/>
      <family val="2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  <font>
      <sz val="10"/>
      <color theme="0" tint="-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i/>
      <sz val="18"/>
      <color theme="0"/>
      <name val="Noto Sans"/>
      <family val="2"/>
    </font>
    <font>
      <b/>
      <sz val="12"/>
      <color theme="0"/>
      <name val="Noto Sans"/>
      <family val="2"/>
    </font>
    <font>
      <sz val="10"/>
      <color theme="0"/>
      <name val="Noto Sans"/>
      <family val="2"/>
    </font>
    <font>
      <sz val="11"/>
      <color theme="1"/>
      <name val="Noto Sans"/>
      <family val="2"/>
    </font>
    <font>
      <b/>
      <sz val="10"/>
      <color theme="0"/>
      <name val="Noto Sans"/>
      <family val="2"/>
    </font>
    <font>
      <b/>
      <sz val="11"/>
      <color theme="0"/>
      <name val="Noto Sans"/>
      <family val="2"/>
    </font>
    <font>
      <sz val="11"/>
      <color theme="0"/>
      <name val="Noto Sans"/>
      <family val="2"/>
    </font>
    <font>
      <i/>
      <sz val="9"/>
      <color theme="0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8632"/>
        <bgColor indexed="64"/>
      </patternFill>
    </fill>
    <fill>
      <patternFill patternType="solid">
        <fgColor rgb="FF412C5D"/>
        <bgColor indexed="64"/>
      </patternFill>
    </fill>
    <fill>
      <patternFill patternType="solid">
        <fgColor rgb="FF26477D"/>
        <bgColor indexed="64"/>
      </patternFill>
    </fill>
    <fill>
      <patternFill patternType="solid">
        <fgColor rgb="FFB69245"/>
        <bgColor indexed="64"/>
      </patternFill>
    </fill>
    <fill>
      <patternFill patternType="solid">
        <fgColor rgb="FFA33338"/>
        <bgColor indexed="64"/>
      </patternFill>
    </fill>
    <fill>
      <patternFill patternType="solid">
        <fgColor rgb="FF46295F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9" fontId="0" fillId="0" borderId="0" xfId="0" applyNumberFormat="1"/>
    <xf numFmtId="0" fontId="0" fillId="0" borderId="0" xfId="0" applyAlignment="1">
      <alignment horizontal="left" indent="1"/>
    </xf>
    <xf numFmtId="165" fontId="4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0" fillId="3" borderId="0" xfId="0" applyFill="1"/>
    <xf numFmtId="0" fontId="0" fillId="2" borderId="0" xfId="0" applyFill="1"/>
    <xf numFmtId="9" fontId="9" fillId="2" borderId="0" xfId="2" applyFont="1" applyFill="1" applyBorder="1" applyAlignment="1">
      <alignment horizontal="center"/>
    </xf>
    <xf numFmtId="9" fontId="8" fillId="2" borderId="0" xfId="2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9" fontId="0" fillId="2" borderId="0" xfId="0" applyNumberFormat="1" applyFill="1"/>
    <xf numFmtId="0" fontId="0" fillId="4" borderId="0" xfId="0" applyFill="1"/>
    <xf numFmtId="0" fontId="5" fillId="4" borderId="0" xfId="0" applyFont="1" applyFill="1" applyAlignment="1">
      <alignment horizontal="left" vertical="center"/>
    </xf>
    <xf numFmtId="0" fontId="2" fillId="4" borderId="0" xfId="0" applyFont="1" applyFill="1"/>
    <xf numFmtId="0" fontId="10" fillId="0" borderId="0" xfId="0" applyFont="1"/>
    <xf numFmtId="0" fontId="0" fillId="0" borderId="0" xfId="0" applyAlignment="1">
      <alignment wrapText="1"/>
    </xf>
    <xf numFmtId="0" fontId="0" fillId="6" borderId="0" xfId="0" applyFill="1"/>
    <xf numFmtId="9" fontId="7" fillId="6" borderId="0" xfId="2" applyFont="1" applyFill="1" applyBorder="1" applyAlignment="1">
      <alignment horizontal="center" vertical="center"/>
    </xf>
    <xf numFmtId="9" fontId="11" fillId="6" borderId="0" xfId="0" applyNumberFormat="1" applyFont="1" applyFill="1"/>
    <xf numFmtId="9" fontId="3" fillId="6" borderId="0" xfId="0" applyNumberFormat="1" applyFont="1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9" fontId="0" fillId="0" borderId="0" xfId="2" applyFont="1"/>
    <xf numFmtId="1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166" fontId="12" fillId="0" borderId="0" xfId="1" applyNumberFormat="1" applyFont="1"/>
    <xf numFmtId="0" fontId="12" fillId="0" borderId="0" xfId="0" applyFont="1"/>
    <xf numFmtId="0" fontId="0" fillId="4" borderId="0" xfId="0" applyFill="1"/>
    <xf numFmtId="0" fontId="0" fillId="0" borderId="0" xfId="0"/>
    <xf numFmtId="0" fontId="13" fillId="2" borderId="0" xfId="0" applyFont="1" applyFill="1"/>
    <xf numFmtId="0" fontId="0" fillId="0" borderId="0" xfId="0"/>
    <xf numFmtId="0" fontId="5" fillId="2" borderId="0" xfId="0" applyFont="1" applyFill="1" applyAlignment="1">
      <alignment vertical="center"/>
    </xf>
    <xf numFmtId="9" fontId="9" fillId="2" borderId="0" xfId="2" applyNumberFormat="1" applyFont="1" applyFill="1" applyBorder="1" applyAlignment="1">
      <alignment vertical="center"/>
    </xf>
    <xf numFmtId="9" fontId="14" fillId="2" borderId="0" xfId="2" applyNumberFormat="1" applyFont="1" applyFill="1" applyBorder="1" applyAlignment="1">
      <alignment vertical="center"/>
    </xf>
    <xf numFmtId="0" fontId="13" fillId="4" borderId="0" xfId="0" applyFont="1" applyFill="1"/>
    <xf numFmtId="0" fontId="13" fillId="5" borderId="0" xfId="0" applyFont="1" applyFill="1"/>
    <xf numFmtId="0" fontId="13" fillId="9" borderId="0" xfId="0" applyFont="1" applyFill="1"/>
    <xf numFmtId="0" fontId="16" fillId="9" borderId="0" xfId="0" applyFont="1" applyFill="1"/>
    <xf numFmtId="0" fontId="16" fillId="0" borderId="0" xfId="0" applyFont="1"/>
    <xf numFmtId="0" fontId="15" fillId="9" borderId="0" xfId="0" applyFont="1" applyFill="1" applyAlignment="1">
      <alignment horizontal="left" vertical="center"/>
    </xf>
    <xf numFmtId="9" fontId="14" fillId="9" borderId="0" xfId="2" applyFont="1" applyFill="1" applyBorder="1" applyAlignment="1">
      <alignment horizontal="center" vertical="center"/>
    </xf>
    <xf numFmtId="0" fontId="19" fillId="0" borderId="0" xfId="0" applyFont="1"/>
    <xf numFmtId="9" fontId="18" fillId="9" borderId="0" xfId="0" applyNumberFormat="1" applyFont="1" applyFill="1"/>
    <xf numFmtId="0" fontId="13" fillId="6" borderId="0" xfId="0" applyFont="1" applyFill="1"/>
    <xf numFmtId="0" fontId="13" fillId="7" borderId="0" xfId="0" applyFont="1" applyFill="1"/>
    <xf numFmtId="0" fontId="13" fillId="8" borderId="0" xfId="0" applyFont="1" applyFill="1"/>
    <xf numFmtId="0" fontId="16" fillId="6" borderId="0" xfId="0" applyFont="1" applyFill="1"/>
    <xf numFmtId="168" fontId="4" fillId="0" borderId="0" xfId="1" applyNumberFormat="1" applyFont="1"/>
    <xf numFmtId="0" fontId="16" fillId="5" borderId="0" xfId="0" applyFont="1" applyFill="1"/>
    <xf numFmtId="0" fontId="16" fillId="10" borderId="0" xfId="0" applyFont="1" applyFill="1"/>
    <xf numFmtId="0" fontId="13" fillId="10" borderId="0" xfId="0" applyFont="1" applyFill="1"/>
    <xf numFmtId="0" fontId="0" fillId="0" borderId="0" xfId="0" applyFill="1"/>
    <xf numFmtId="0" fontId="0" fillId="0" borderId="0" xfId="0"/>
    <xf numFmtId="0" fontId="0" fillId="0" borderId="0" xfId="0"/>
    <xf numFmtId="0" fontId="20" fillId="6" borderId="0" xfId="0" applyFont="1" applyFill="1" applyAlignment="1">
      <alignment wrapText="1"/>
    </xf>
    <xf numFmtId="0" fontId="3" fillId="2" borderId="0" xfId="0" applyFont="1" applyFill="1" applyAlignment="1">
      <alignment horizontal="center" vertical="top" wrapText="1"/>
    </xf>
    <xf numFmtId="9" fontId="7" fillId="2" borderId="0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9" fontId="9" fillId="2" borderId="0" xfId="2" applyFont="1" applyFill="1" applyBorder="1" applyAlignment="1">
      <alignment horizontal="right" vertical="center"/>
    </xf>
    <xf numFmtId="9" fontId="18" fillId="4" borderId="0" xfId="2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0" fillId="4" borderId="0" xfId="0" applyFill="1"/>
    <xf numFmtId="0" fontId="0" fillId="0" borderId="0" xfId="0"/>
    <xf numFmtId="0" fontId="15" fillId="4" borderId="0" xfId="0" applyFont="1" applyFill="1" applyAlignment="1">
      <alignment horizontal="left" vertical="center"/>
    </xf>
    <xf numFmtId="167" fontId="18" fillId="9" borderId="0" xfId="2" applyNumberFormat="1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C4F25"/>
      <color rgb="FFFF4B41"/>
      <color rgb="FFFDD7AD"/>
      <color rgb="FFC4B3DB"/>
      <color rgb="FFB12533"/>
      <color rgb="FFA02B93"/>
      <color rgb="FFBF4482"/>
      <color rgb="FF64BCDE"/>
      <color rgb="FF4DA2A2"/>
      <color rgb="FF462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9130801354388"/>
          <c:y val="4.5732585607559204E-2"/>
          <c:w val="0.80007984123238285"/>
          <c:h val="0.923779023987401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B-422E-B1D3-0A6A092C6DA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B-422E-B1D3-0A6A092C6DAC}"/>
              </c:ext>
            </c:extLst>
          </c:dPt>
          <c:val>
            <c:numRef>
              <c:f>data!$C$7:$D$7</c:f>
              <c:numCache>
                <c:formatCode>_(* #,##0.0_);_(* \(#,##0.0\);_(* "-"??_);_(@_)</c:formatCode>
                <c:ptCount val="2"/>
                <c:pt idx="0">
                  <c:v>29.262910487429199</c:v>
                </c:pt>
                <c:pt idx="1">
                  <c:v>70.737089512570805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B-422E-B1D3-0A6A092C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3305486365132042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data!$C$3</c:f>
              <c:numCache>
                <c:formatCode>_(* #,##0_);_(* \(#,##0\);_(* "-"??_);_(@_)</c:formatCode>
                <c:ptCount val="1"/>
                <c:pt idx="0">
                  <c:v>9.58683453832273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2EE-B218-69216AA7183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</c:f>
              <c:numCache>
                <c:formatCode>_(* #,##0_);_(* \(#,##0\);_(* "-"??_);_(@_)</c:formatCode>
                <c:ptCount val="1"/>
                <c:pt idx="0">
                  <c:v>90.413165461677266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F-42EE-B218-69216AA7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8397573958666401E-2"/>
          <c:w val="0.96665325210585473"/>
          <c:h val="0.91052363801629288"/>
        </c:manualLayout>
      </c:layout>
      <c:doughnutChart>
        <c:varyColors val="1"/>
        <c:ser>
          <c:idx val="0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E-F648-A983-2574A5C0270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E-F648-A983-2574A5C0270B}"/>
              </c:ext>
            </c:extLst>
          </c:dPt>
          <c:val>
            <c:numRef>
              <c:f>data!$C$4:$D$4</c:f>
              <c:numCache>
                <c:formatCode>_(* #,##0.0_);_(* \(#,##0.0\);_(* "-"??_);_(@_)</c:formatCode>
                <c:ptCount val="2"/>
                <c:pt idx="0">
                  <c:v>16.899999999999999</c:v>
                </c:pt>
                <c:pt idx="1">
                  <c:v>83.1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5E-F648-A983-2574A5C0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171335408725005E-2"/>
          <c:w val="0.98710394043881766"/>
          <c:h val="0.925712539038069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D-4BDF-9C23-EE4D29AD969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D-4BDF-9C23-EE4D29AD969B}"/>
              </c:ext>
            </c:extLst>
          </c:dPt>
          <c:val>
            <c:numRef>
              <c:f>data!$C$5:$D$5</c:f>
              <c:numCache>
                <c:formatCode>_(* #,##0.0_);_(* \(#,##0.0\);_(* "-"??_);_(@_)</c:formatCode>
                <c:ptCount val="2"/>
                <c:pt idx="0">
                  <c:v>2.9</c:v>
                </c:pt>
                <c:pt idx="1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D-4BDF-9C23-EE4D29AD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62-42D8-B0A8-4182476A2A7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62-42D8-B0A8-4182476A2A70}"/>
              </c:ext>
            </c:extLst>
          </c:dPt>
          <c:val>
            <c:numRef>
              <c:f>data!$C$8:$D$8</c:f>
              <c:numCache>
                <c:formatCode>_(* #,##0.0_);_(* \(#,##0.0\);_(* "-"??_);_(@_)</c:formatCode>
                <c:ptCount val="2"/>
                <c:pt idx="0">
                  <c:v>86.677187571240992</c:v>
                </c:pt>
                <c:pt idx="1">
                  <c:v>13.322812428759008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62-42D8-B0A8-4182476A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2-4A41-B175-5E7211396D4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2-4A41-B175-5E7211396D46}"/>
              </c:ext>
            </c:extLst>
          </c:dPt>
          <c:val>
            <c:numRef>
              <c:f>data!$C$9:$D$9</c:f>
              <c:numCache>
                <c:formatCode>_(* #,##0.0_);_(* \(#,##0.0\);_(* "-"??_);_(@_)</c:formatCode>
                <c:ptCount val="2"/>
                <c:pt idx="0">
                  <c:v>7.2036610535094896</c:v>
                </c:pt>
                <c:pt idx="1">
                  <c:v>92.796338946490508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2-4A41-B175-5E721139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C-462E-8861-C055FFF4216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C-462E-8861-C055FFF42161}"/>
              </c:ext>
            </c:extLst>
          </c:dPt>
          <c:val>
            <c:numRef>
              <c:f>data!$C$10:$D$10</c:f>
              <c:numCache>
                <c:formatCode>_(* #,##0.0_);_(* \(#,##0.0\);_(* "-"??_);_(@_)</c:formatCode>
                <c:ptCount val="2"/>
                <c:pt idx="0">
                  <c:v>0.24666409270182299</c:v>
                </c:pt>
                <c:pt idx="1">
                  <c:v>99.75333590729818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C-462E-8861-C055FFF42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66812168348615E-2"/>
          <c:y val="8.6662365850058209E-2"/>
          <c:w val="0.82771418434418886"/>
          <c:h val="0.949656879071172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DA-4459-8D67-8C092A7453A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A-4459-8D67-8C092A7453AC}"/>
              </c:ext>
            </c:extLst>
          </c:dPt>
          <c:val>
            <c:numRef>
              <c:f>data!$C$11:$D$11</c:f>
              <c:numCache>
                <c:formatCode>_(* #,##0.0_);_(* \(#,##0.0\);_(* "-"??_);_(@_)</c:formatCode>
                <c:ptCount val="2"/>
                <c:pt idx="0">
                  <c:v>1.36202893634498</c:v>
                </c:pt>
                <c:pt idx="1">
                  <c:v>98.637971063655016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A-4459-8D67-8C092A74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53323808249E-2"/>
          <c:y val="3.9542846654578023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F-4DE4-8A39-53147FA69B37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3F-4DE4-8A39-53147FA69B37}"/>
              </c:ext>
            </c:extLst>
          </c:dPt>
          <c:val>
            <c:numRef>
              <c:f>data!$C$12:$D$12</c:f>
              <c:numCache>
                <c:formatCode>_(* #,##0.0_);_(* \(#,##0.0\);_(* "-"??_);_(@_)</c:formatCode>
                <c:ptCount val="2"/>
                <c:pt idx="0">
                  <c:v>0.79274449407799996</c:v>
                </c:pt>
                <c:pt idx="1">
                  <c:v>99.207255505922006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F-4DE4-8A39-53147FA6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F6AA0"/>
            </a:solidFill>
            <a:ln>
              <a:noFill/>
            </a:ln>
            <a:effectLst/>
          </c:spPr>
          <c:invertIfNegative val="0"/>
          <c:val>
            <c:numRef>
              <c:f>data!$C$15</c:f>
              <c:numCache>
                <c:formatCode>_(* #,##0.0_);_(* \(#,##0.0\);_(* "-"??_);_(@_)</c:formatCode>
                <c:ptCount val="1"/>
                <c:pt idx="0">
                  <c:v>0.16642277782832302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D-4FE9-AC75-F216EE80CA9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data!$D$15</c:f>
              <c:numCache>
                <c:formatCode>_(* #,##0.0_);_(* \(#,##0.0\);_(* "-"??_);_(@_)</c:formatCode>
                <c:ptCount val="1"/>
                <c:pt idx="0">
                  <c:v>99.833577222171684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D-4FE9-AC75-F216EE80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data!$C$19</c:f>
              <c:numCache>
                <c:formatCode>_(* #,##0_);_(* \(#,##0\);_(* "-"??_);_(@_)</c:formatCode>
                <c:ptCount val="1"/>
                <c:pt idx="0">
                  <c:v>27.081665048940202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1-6A4F-B62C-698520366B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1-6A4F-B62C-698520366B42}"/>
              </c:ext>
            </c:extLst>
          </c:dPt>
          <c:val>
            <c:numRef>
              <c:f>data!$D$19</c:f>
              <c:numCache>
                <c:formatCode>_(* #,##0_);_(* \(#,##0\);_(* "-"??_);_(@_)</c:formatCode>
                <c:ptCount val="1"/>
                <c:pt idx="0">
                  <c:v>72.918334951059791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1-6A4F-B62C-69852036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A4-F74D-A407-F1CA4EDC66AE}"/>
              </c:ext>
            </c:extLst>
          </c:dPt>
          <c:val>
            <c:numRef>
              <c:f>data!$C$25</c:f>
              <c:numCache>
                <c:formatCode>_(* #,##0_);_(* \(#,##0\);_(* "-"??_);_(@_)</c:formatCode>
                <c:ptCount val="1"/>
                <c:pt idx="0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A4-F74D-A407-F1CA4EDC66AE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data!$D$25</c:f>
              <c:numCache>
                <c:formatCode>_(* #,##0_);_(* \(#,##0\);_(* "-"??_);_(@_)</c:formatCode>
                <c:ptCount val="1"/>
                <c:pt idx="0">
                  <c:v>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A4-F74D-A407-F1CA4EDC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2735938989513E-2"/>
          <c:y val="9.0726707983336291E-2"/>
          <c:w val="0.83151981478959558"/>
          <c:h val="0.8150120199206324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5D-1941-81FD-AB03FF0D1F6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5D-1941-81FD-AB03FF0D1F6E}"/>
              </c:ext>
            </c:extLst>
          </c:dPt>
          <c:val>
            <c:numRef>
              <c:f>data!$C$20:$D$20</c:f>
              <c:numCache>
                <c:formatCode>_(* #,##0.0_);_(* \(#,##0.0\);_(* "-"??_);_(@_)</c:formatCode>
                <c:ptCount val="2"/>
                <c:pt idx="0">
                  <c:v>35.6</c:v>
                </c:pt>
                <c:pt idx="1">
                  <c:v>64.400000000000006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5D-1941-81FD-AB03FF0D1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F7-2348-B573-B891CB5589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F7-2348-B573-B891CB55899C}"/>
              </c:ext>
            </c:extLst>
          </c:dPt>
          <c:val>
            <c:numRef>
              <c:f>data!$C$21:$D$21</c:f>
              <c:numCache>
                <c:formatCode>_(* #,##0.0_);_(* \(#,##0.0\);_(* "-"??_);_(@_)</c:formatCode>
                <c:ptCount val="2"/>
                <c:pt idx="0">
                  <c:v>19.3</c:v>
                </c:pt>
                <c:pt idx="1">
                  <c:v>80.7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F7-2348-B573-B891CB55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B344-80F4-3D7FAD1AE26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B344-80F4-3D7FAD1AE266}"/>
              </c:ext>
            </c:extLst>
          </c:dPt>
          <c:val>
            <c:numRef>
              <c:f>data!$C$23:$D$23</c:f>
              <c:numCache>
                <c:formatCode>_(* #,##0.0_);_(* \(#,##0.0\);_(* "-"??_);_(@_)</c:formatCode>
                <c:ptCount val="2"/>
                <c:pt idx="0">
                  <c:v>22.4</c:v>
                </c:pt>
                <c:pt idx="1">
                  <c:v>77.599999999999994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D0-B344-80F4-3D7FAD1A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0.1601659185884538"/>
          <c:w val="0.87534502715697626"/>
          <c:h val="0.6816728060671722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6C-1B46-A6CC-70CA137F70A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6C-1B46-A6CC-70CA137F70A5}"/>
              </c:ext>
            </c:extLst>
          </c:dPt>
          <c:val>
            <c:numRef>
              <c:f>data!$C$22:$D$22</c:f>
              <c:numCache>
                <c:formatCode>_(* #,##0.0_);_(* \(#,##0.0\);_(* "-"??_);_(@_)</c:formatCode>
                <c:ptCount val="2"/>
                <c:pt idx="0">
                  <c:v>31.1</c:v>
                </c:pt>
                <c:pt idx="1">
                  <c:v>68.900000000000006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C-1B46-A6CC-70CA137F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6969999445468E-2"/>
          <c:y val="0.1391014895871642"/>
          <c:w val="0.86046422799559985"/>
          <c:h val="0.80153052963225824"/>
        </c:manualLayout>
      </c:layout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BF4482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E43-4CDE-A985-2CF72CC42BF3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E43-4CDE-A985-2CF72CC42BF3}"/>
              </c:ext>
            </c:extLst>
          </c:dPt>
          <c:val>
            <c:numRef>
              <c:f>data!$C$35:$D$35</c:f>
              <c:numCache>
                <c:formatCode>_(* #,##0_);_(* \(#,##0\);_(* "-"??_);_(@_)</c:formatCode>
                <c:ptCount val="2"/>
                <c:pt idx="0" formatCode="General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43-4CDE-A985-2CF72CC4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9.6244033195509629E-2"/>
          <c:w val="0.90546866463306064"/>
          <c:h val="0.7754233543712122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3F-A341-BD7D-69B74BBDEBAB}"/>
              </c:ext>
            </c:extLst>
          </c:dPt>
          <c:val>
            <c:numRef>
              <c:f>data!$C$33</c:f>
              <c:numCache>
                <c:formatCode>_(* #,##0_);_(* \(#,##0\);_(* "-"??_);_(@_)</c:formatCode>
                <c:ptCount val="1"/>
                <c:pt idx="0">
                  <c:v>44.285714285714285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D3F-A341-BD7D-69B74BBDEBA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FD3F-A341-BD7D-69B74BBD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936779266183515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22-274C-8C73-57C71E686A53}"/>
              </c:ext>
            </c:extLst>
          </c:dPt>
          <c:val>
            <c:numRef>
              <c:f>data!$C$34</c:f>
              <c:numCache>
                <c:formatCode>_(* #,##0_);_(* \(#,##0\);_(* "-"??_);_(@_)</c:formatCode>
                <c:ptCount val="1"/>
                <c:pt idx="0">
                  <c:v>54.285714285714285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22-274C-8C73-57C71E686A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4E22-274C-8C73-57C71E68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0.11028166648255114"/>
          <c:w val="0.86046422799559985"/>
          <c:h val="0.801530529632258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FB-8844-AA2C-96188463AD6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FB-8844-AA2C-96188463AD6A}"/>
              </c:ext>
            </c:extLst>
          </c:dPt>
          <c:val>
            <c:numRef>
              <c:f>data!$C$36:$D$36</c:f>
              <c:numCache>
                <c:formatCode>_(* #,##0_);_(* \(#,##0\);_(* "-"??_);_(@_)</c:formatCode>
                <c:ptCount val="2"/>
                <c:pt idx="0">
                  <c:v>26.345796430082004</c:v>
                </c:pt>
                <c:pt idx="1">
                  <c:v>73.654203569917996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B-8844-AA2C-96188463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data!$C$37</c:f>
              <c:numCache>
                <c:formatCode>_(* #,##0.0_);_(* \(#,##0.0\);_(* "-"??_);_(@_)</c:formatCode>
                <c:ptCount val="1"/>
                <c:pt idx="0">
                  <c:v>41.059009199321899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C-884F-B584-CAB82694D2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2A3-4B5A-9352-56A44CC832B4}"/>
              </c:ext>
            </c:extLst>
          </c:dPt>
          <c:val>
            <c:numRef>
              <c:f>data!$D$37</c:f>
              <c:numCache>
                <c:formatCode>_(* #,##0.0_);_(* \(#,##0.0\);_(* "-"??_);_(@_)</c:formatCode>
                <c:ptCount val="1"/>
                <c:pt idx="0">
                  <c:v>58.940990800678101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C-884F-B584-CAB82694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solidFill>
              <a:srgbClr val="64BCDE"/>
            </a:solidFill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5-418B-9D53-BF395E5F035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5-418B-9D53-BF395E5F035B}"/>
              </c:ext>
            </c:extLst>
          </c:dPt>
          <c:val>
            <c:numRef>
              <c:f>data!$C$45:$D$45</c:f>
              <c:numCache>
                <c:formatCode>_(* #,##0.0_);_(* \(#,##0.0\);_(* "-"??_);_(@_)</c:formatCode>
                <c:ptCount val="2"/>
                <c:pt idx="0">
                  <c:v>17.937866963428</c:v>
                </c:pt>
                <c:pt idx="1">
                  <c:v>82.062133036571993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B5-418B-9D53-BF395E5F0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AB-46DA-B8BF-B24A5554D32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AB-46DA-B8BF-B24A5554D329}"/>
              </c:ext>
            </c:extLst>
          </c:dPt>
          <c:val>
            <c:numRef>
              <c:f>data!$C$44:$D$44</c:f>
              <c:numCache>
                <c:formatCode>_(* #,##0.0_);_(* \(#,##0.0\);_(* "-"??_);_(@_)</c:formatCode>
                <c:ptCount val="2"/>
                <c:pt idx="0">
                  <c:v>12.689466768895199</c:v>
                </c:pt>
                <c:pt idx="1">
                  <c:v>87.310533231104799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B-46DA-B8BF-B24A5554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3E-9646-88B7-C755C1076F76}"/>
              </c:ext>
            </c:extLst>
          </c:dPt>
          <c:val>
            <c:numRef>
              <c:f>data!$C$41</c:f>
              <c:numCache>
                <c:formatCode>_(* #,##0.0_);_(* \(#,##0.0\);_(* "-"??_);_(@_)</c:formatCode>
                <c:ptCount val="1"/>
                <c:pt idx="0">
                  <c:v>15.3317473977706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3E-9646-88B7-C755C1076F7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data!$D$41</c:f>
              <c:numCache>
                <c:formatCode>_(* #,##0.0_);_(* \(#,##0.0\);_(* "-"??_);_(@_)</c:formatCode>
                <c:ptCount val="1"/>
                <c:pt idx="0">
                  <c:v>84.668252602229401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3E-9646-88B7-C755C107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05-4C3E-9D65-38D26B3F3AB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F64-4A32-960E-1BC738110210}"/>
              </c:ext>
            </c:extLst>
          </c:dPt>
          <c:val>
            <c:numRef>
              <c:f>data!$C$46:$D$46</c:f>
              <c:numCache>
                <c:formatCode>_(* #,##0.0_);_(* \(#,##0.0\);_(* "-"??_);_(@_)</c:formatCode>
                <c:ptCount val="2"/>
                <c:pt idx="0">
                  <c:v>23.0499947806418</c:v>
                </c:pt>
                <c:pt idx="1">
                  <c:v>76.950005219358204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2F-754D-B5C8-01B1A28A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45814418024587"/>
          <c:y val="6.3803705638840885E-2"/>
          <c:w val="0.63977167152482817"/>
          <c:h val="0.87239258872231829"/>
        </c:manualLayout>
      </c:layout>
      <c:doughnutChart>
        <c:varyColors val="1"/>
        <c:ser>
          <c:idx val="1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C-4268-897B-B34A935D175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FD-4A8D-9BB1-0303B4DB0C6C}"/>
              </c:ext>
            </c:extLst>
          </c:dPt>
          <c:val>
            <c:numRef>
              <c:f>data!$C$48:$D$48</c:f>
              <c:numCache>
                <c:formatCode>_(* #,##0.0_);_(* \(#,##0.0\);_(* "-"??_);_(@_)</c:formatCode>
                <c:ptCount val="2"/>
                <c:pt idx="0" formatCode="#,##0.0_);\(#,##0.0\)">
                  <c:v>26.689826575900998</c:v>
                </c:pt>
                <c:pt idx="1">
                  <c:v>73.310173424099006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AF-F241-85D0-2E458245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B1-6C45-9924-212BDC50175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B1-6C45-9924-212BDC501754}"/>
              </c:ext>
            </c:extLst>
          </c:dPt>
          <c:val>
            <c:numRef>
              <c:f>data!$C$47:$D$47</c:f>
              <c:numCache>
                <c:formatCode>_(* #,##0.0_);_(* \(#,##0.0\);_(* "-"??_);_(@_)</c:formatCode>
                <c:ptCount val="2"/>
                <c:pt idx="0">
                  <c:v>57.438181124198593</c:v>
                </c:pt>
                <c:pt idx="1">
                  <c:v>42.561818875801407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1-6C45-9924-212BDC50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84-844A-A8FE-AEFA41D58CB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84-844A-A8FE-AEFA41D58CBB}"/>
              </c:ext>
            </c:extLst>
          </c:dPt>
          <c:val>
            <c:numRef>
              <c:f>data!$C$49:$D$49</c:f>
              <c:numCache>
                <c:formatCode>_(* #,##0.0_);_(* \(#,##0.0\);_(* "-"??_);_(@_)</c:formatCode>
                <c:ptCount val="2"/>
                <c:pt idx="0">
                  <c:v>73.627233813542404</c:v>
                </c:pt>
                <c:pt idx="1">
                  <c:v>26.372766186457596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4-844A-A8FE-AEFA41D5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CF-7548-9936-6542FD841A1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CF-7548-9936-6542FD841A1C}"/>
              </c:ext>
            </c:extLst>
          </c:dPt>
          <c:val>
            <c:numRef>
              <c:f>data!$C$50:$D$50</c:f>
              <c:numCache>
                <c:formatCode>_(* #,##0.0_);_(* \(#,##0.0\);_(* "-"??_);_(@_)</c:formatCode>
                <c:ptCount val="2"/>
                <c:pt idx="0">
                  <c:v>43.192463256634902</c:v>
                </c:pt>
                <c:pt idx="1">
                  <c:v>56.807536743365098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CF-7548-9936-6542FD84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B12533"/>
            </a:solidFill>
            <a:ln w="19050">
              <a:solidFill>
                <a:schemeClr val="lt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5281-4AB3-977B-703357F29CE6}"/>
              </c:ext>
            </c:extLst>
          </c:dPt>
          <c:val>
            <c:numRef>
              <c:f>data!$C$60:$D$60</c:f>
              <c:numCache>
                <c:formatCode>_(* #,##0.0_);_(* \(#,##0.0\);_(* "-"??_);_(@_)</c:formatCode>
                <c:ptCount val="2"/>
                <c:pt idx="0">
                  <c:v>23.3490002268708</c:v>
                </c:pt>
                <c:pt idx="1">
                  <c:v>76.6509997731292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6130-4F12-8F07-4DD5BA3B159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130-4F12-8F07-4DD5BA3B1594}"/>
              </c:ext>
            </c:extLst>
          </c:dPt>
          <c:val>
            <c:numRef>
              <c:f>data!$C$58:$D$58</c:f>
              <c:numCache>
                <c:formatCode>_(* #,##0.0_);_(* \(#,##0.0\);_(* "-"??_);_(@_)</c:formatCode>
                <c:ptCount val="2"/>
                <c:pt idx="0">
                  <c:v>74.541050844360001</c:v>
                </c:pt>
                <c:pt idx="1">
                  <c:v>25.458949155639999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12533"/>
            </a:solidFill>
            <a:ln>
              <a:noFill/>
            </a:ln>
            <a:effectLst/>
          </c:spPr>
          <c:invertIfNegative val="0"/>
          <c:val>
            <c:numRef>
              <c:f>data!$C$59</c:f>
              <c:numCache>
                <c:formatCode>_(* #,##0.0_);_(* \(#,##0.0\);_(* "-"??_);_(@_)</c:formatCode>
                <c:ptCount val="1"/>
                <c:pt idx="0">
                  <c:v>31.361173699675298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3-4E4C-A050-21475682D9C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data!$D$59</c:f>
              <c:numCache>
                <c:formatCode>_(* #,##0.0_);_(* \(#,##0.0\);_(* "-"??_);_(@_)</c:formatCode>
                <c:ptCount val="1"/>
                <c:pt idx="0">
                  <c:v>68.638826300324695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F3-4E4C-A050-21475682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12533"/>
            </a:solidFill>
            <a:ln>
              <a:noFill/>
            </a:ln>
            <a:effectLst>
              <a:outerShdw blurRad="50800" dist="50800" dir="5400000" algn="ctr" rotWithShape="0">
                <a:schemeClr val="accent5"/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12533"/>
              </a:solidFill>
              <a:ln>
                <a:noFill/>
              </a:ln>
              <a:effectLst>
                <a:outerShdw blurRad="50800" dist="50800" dir="5400000" algn="ctr" rotWithShape="0">
                  <a:srgbClr val="B12533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BF-426C-AAC8-35D222571B61}"/>
              </c:ext>
            </c:extLst>
          </c:dPt>
          <c:val>
            <c:numRef>
              <c:f>data!$C$56</c:f>
              <c:numCache>
                <c:formatCode>_(* #,##0.0_);_(* \(#,##0.0\);_(* "-"??_);_(@_)</c:formatCode>
                <c:ptCount val="1"/>
                <c:pt idx="0">
                  <c:v>70.431390646202999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F-F94C-B2D1-6AE42F77D8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1F-F94C-B2D1-6AE42F77D8A4}"/>
              </c:ext>
            </c:extLst>
          </c:dPt>
          <c:val>
            <c:numRef>
              <c:f>data!$D$56</c:f>
              <c:numCache>
                <c:formatCode>_(* #,##0.0_);_(* \(#,##0.0\);_(* "-"??_);_(@_)</c:formatCode>
                <c:ptCount val="1"/>
                <c:pt idx="0">
                  <c:v>29.568609353797001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1F-F94C-B2D1-6AE42F77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84C-4A93-AB9E-7435C888038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84C-4A93-AB9E-7435C8880386}"/>
              </c:ext>
            </c:extLst>
          </c:dPt>
          <c:val>
            <c:numRef>
              <c:f>data!$C$57:$D$57</c:f>
              <c:numCache>
                <c:formatCode>_(* #,##0.0_);_(* \(#,##0.0\);_(* "-"??_);_(@_)</c:formatCode>
                <c:ptCount val="2"/>
                <c:pt idx="0">
                  <c:v>65.998481314155896</c:v>
                </c:pt>
                <c:pt idx="1">
                  <c:v>34.001518685844104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FF15-4777-8D0D-2BDEBE8FD8EF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F15-4777-8D0D-2BDEBE8FD8EF}"/>
              </c:ext>
            </c:extLst>
          </c:dPt>
          <c:val>
            <c:numRef>
              <c:f>data!$C$61:$D$61</c:f>
              <c:numCache>
                <c:formatCode>_(* #,##0.0_);_(* \(#,##0.0\);_(* "-"??_);_(@_)</c:formatCode>
                <c:ptCount val="2"/>
                <c:pt idx="0">
                  <c:v>38.789096979522405</c:v>
                </c:pt>
                <c:pt idx="1">
                  <c:v>61.210903020477595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63-AA4A-89ED-60441E4FF6D2}"/>
              </c:ext>
            </c:extLst>
          </c:dPt>
          <c:val>
            <c:numRef>
              <c:f>data!$C$66</c:f>
              <c:numCache>
                <c:formatCode>_(* #,##0.0_);_(* \(#,##0.0\);_(* "-"??_);_(@_)</c:formatCode>
                <c:ptCount val="1"/>
                <c:pt idx="0">
                  <c:v>36.225792037284201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3-AA4A-89ED-60441E4FF6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63-AA4A-89ED-60441E4FF6D2}"/>
              </c:ext>
            </c:extLst>
          </c:dPt>
          <c:val>
            <c:numRef>
              <c:f>data!$D$66</c:f>
              <c:numCache>
                <c:formatCode>_(* #,##0.0_);_(* \(#,##0.0\);_(* "-"??_);_(@_)</c:formatCode>
                <c:ptCount val="1"/>
                <c:pt idx="0">
                  <c:v>63.774207962715799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63-AA4A-89ED-60441E4FF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bg1">
                  <a:lumMod val="95000"/>
                </a:schemeClr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33B-466B-8B9F-CFE58D929FBF}"/>
              </c:ext>
            </c:extLst>
          </c:dPt>
          <c:val>
            <c:numRef>
              <c:f>data!$C$68:$D$68</c:f>
              <c:numCache>
                <c:formatCode>_(* #,##0.0_);_(* \(#,##0.0\);_(* "-"??_);_(@_)</c:formatCode>
                <c:ptCount val="2"/>
                <c:pt idx="0">
                  <c:v>61.052311680398198</c:v>
                </c:pt>
                <c:pt idx="1">
                  <c:v>38.947688319601802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B-466B-8B9F-CFE58D92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bg1">
                  <a:lumMod val="95000"/>
                </a:schemeClr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94B-415E-AE36-D2B877B2CF99}"/>
              </c:ext>
            </c:extLst>
          </c:dPt>
          <c:val>
            <c:numRef>
              <c:f>data!$C$69:$D$69</c:f>
              <c:numCache>
                <c:formatCode>_(* #,##0.0_);_(* \(#,##0.0\);_(* "-"??_);_(@_)</c:formatCode>
                <c:ptCount val="2"/>
                <c:pt idx="0">
                  <c:v>40.527095734318003</c:v>
                </c:pt>
                <c:pt idx="1">
                  <c:v>59.472904265681997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15E-AE36-D2B877B2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EF3-47D4-A2A9-899C5DD9FE9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EF3-47D4-A2A9-899C5DD9FE96}"/>
              </c:ext>
            </c:extLst>
          </c:dPt>
          <c:val>
            <c:numRef>
              <c:f>data!$C$70:$D$70</c:f>
              <c:numCache>
                <c:formatCode>_(* #,##0.0_);_(* \(#,##0.0\);_(* "-"??_);_(@_)</c:formatCode>
                <c:ptCount val="2"/>
                <c:pt idx="0">
                  <c:v>17.8923976075863</c:v>
                </c:pt>
                <c:pt idx="1">
                  <c:v>82.107602392413696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7D4-A2A9-899C5DD9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data!$C$74</c:f>
              <c:numCache>
                <c:formatCode>_(* #,##0.0_);_(* \(#,##0.0\);_(* "-"??_);_(@_)</c:formatCode>
                <c:ptCount val="1"/>
                <c:pt idx="0">
                  <c:v>32.595983575895296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4-DC44-840B-ED04A96B364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data!$D$74</c:f>
              <c:numCache>
                <c:formatCode>_(* #,##0.0_);_(* \(#,##0.0\);_(* "-"??_);_(@_)</c:formatCode>
                <c:ptCount val="1"/>
                <c:pt idx="0">
                  <c:v>67.404016424104697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4-DC44-840B-ED04A96B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9C7-4712-B3A7-2EE78A98D0D8}"/>
              </c:ext>
            </c:extLst>
          </c:dPt>
          <c:val>
            <c:numRef>
              <c:f>data!$C$75:$D$75</c:f>
              <c:numCache>
                <c:formatCode>_(* #,##0.0_);_(* \(#,##0.0\);_(* "-"??_);_(@_)</c:formatCode>
                <c:ptCount val="2"/>
                <c:pt idx="0">
                  <c:v>49.067519925996699</c:v>
                </c:pt>
                <c:pt idx="1">
                  <c:v>50.932480074003301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7-4712-B3A7-2EE78A98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6C4F25"/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ABBE-4BF5-B6AE-811C16E32FDF}"/>
              </c:ext>
            </c:extLst>
          </c:dPt>
          <c:val>
            <c:numRef>
              <c:f>data!$C$81:$D$81</c:f>
              <c:numCache>
                <c:formatCode>_(* #,##0.0_);_(* \(#,##0.0\);_(* "-"??_);_(@_)</c:formatCode>
                <c:ptCount val="2"/>
                <c:pt idx="0">
                  <c:v>51.068816005975307</c:v>
                </c:pt>
                <c:pt idx="1">
                  <c:v>48.931183994024693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5-4622-9B95-D98B75FB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data!$C$80</c:f>
              <c:numCache>
                <c:formatCode>_(* #,##0.0_);_(* \(#,##0.0\);_(* "-"??_);_(@_)</c:formatCode>
                <c:ptCount val="1"/>
                <c:pt idx="0">
                  <c:v>30.846405700899197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5-0B4F-A2BE-FBC57F417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B85-0B4F-A2BE-FBC57F4173D5}"/>
              </c:ext>
            </c:extLst>
          </c:dPt>
          <c:val>
            <c:numRef>
              <c:f>data!$D$80</c:f>
              <c:numCache>
                <c:formatCode>_(* #,##0.0_);_(* \(#,##0.0\);_(* "-"??_);_(@_)</c:formatCode>
                <c:ptCount val="1"/>
                <c:pt idx="0">
                  <c:v>69.153594299100803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5-0B4F-A2BE-FBC57F41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6C4F25"/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0B26-4C5C-AEA7-E7CE6F356E85}"/>
              </c:ext>
            </c:extLst>
          </c:dPt>
          <c:val>
            <c:numRef>
              <c:f>data!$C$82:$D$82</c:f>
              <c:numCache>
                <c:formatCode>_(* #,##0.0_);_(* \(#,##0.0\);_(* "-"??_);_(@_)</c:formatCode>
                <c:ptCount val="2"/>
                <c:pt idx="0">
                  <c:v>66.177741357996197</c:v>
                </c:pt>
                <c:pt idx="1">
                  <c:v>33.822258642003803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5-4622-9B95-D98B75FB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4DA2A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F7-4D20-9B63-D6891845F02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F7-4D20-9B63-D6891845F02A}"/>
              </c:ext>
            </c:extLst>
          </c:dPt>
          <c:val>
            <c:numRef>
              <c:f>data!$C$105:$D$105</c:f>
              <c:numCache>
                <c:formatCode>_(* #,##0.0_);_(* \(#,##0.0\);_(* "-"??_);_(@_)</c:formatCode>
                <c:ptCount val="2"/>
                <c:pt idx="0">
                  <c:v>1.4</c:v>
                </c:pt>
                <c:pt idx="1">
                  <c:v>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F7-4D20-9B63-D6891845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data!$C$103</c:f>
              <c:numCache>
                <c:formatCode>_(* #,##0.0_);_(* \(#,##0.0\);_(* "-"??_);_(@_)</c:formatCode>
                <c:ptCount val="1"/>
                <c:pt idx="0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7-B041-A1E8-37AE2508E33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data!$D$103</c:f>
              <c:numCache>
                <c:formatCode>_(* #,##0.0_);_(* \(#,##0.0\);_(* "-"??_);_(@_)</c:formatCode>
                <c:ptCount val="1"/>
                <c:pt idx="0">
                  <c:v>72.900000000000006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37-B041-A1E8-37AE2508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DA2A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66-48DA-862A-B1E8DE09C49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566-48DA-862A-B1E8DE09C492}"/>
              </c:ext>
            </c:extLst>
          </c:dPt>
          <c:val>
            <c:numRef>
              <c:f>data!$C$104:$D$104</c:f>
              <c:numCache>
                <c:formatCode>_(* #,##0.0_);_(* \(#,##0.0\);_(* "-"??_);_(@_)</c:formatCode>
                <c:ptCount val="2"/>
                <c:pt idx="0">
                  <c:v>71.5</c:v>
                </c:pt>
                <c:pt idx="1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7-6E47-94DC-62B90305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image" Target="../media/image5.emf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13.xml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image" Target="../media/image9.png"/><Relationship Id="rId5" Type="http://schemas.openxmlformats.org/officeDocument/2006/relationships/chart" Target="../charts/chart15.xml"/><Relationship Id="rId10" Type="http://schemas.openxmlformats.org/officeDocument/2006/relationships/image" Target="../media/image8.png"/><Relationship Id="rId4" Type="http://schemas.openxmlformats.org/officeDocument/2006/relationships/chart" Target="../charts/chart14.xml"/><Relationship Id="rId9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1.png"/><Relationship Id="rId7" Type="http://schemas.openxmlformats.org/officeDocument/2006/relationships/chart" Target="../charts/chart22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5" Type="http://schemas.openxmlformats.org/officeDocument/2006/relationships/image" Target="../media/image12.png"/><Relationship Id="rId4" Type="http://schemas.openxmlformats.org/officeDocument/2006/relationships/chart" Target="../charts/chart20.xml"/><Relationship Id="rId9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image" Target="../media/image19.png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image" Target="../media/image18.png"/><Relationship Id="rId2" Type="http://schemas.openxmlformats.org/officeDocument/2006/relationships/chart" Target="../charts/chart24.xml"/><Relationship Id="rId16" Type="http://schemas.openxmlformats.org/officeDocument/2006/relationships/image" Target="../media/image22.png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image" Target="../media/image17.png"/><Relationship Id="rId5" Type="http://schemas.openxmlformats.org/officeDocument/2006/relationships/chart" Target="../charts/chart27.xml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chart" Target="../charts/chart26.xml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3.xml"/><Relationship Id="rId7" Type="http://schemas.openxmlformats.org/officeDocument/2006/relationships/chart" Target="../charts/chart35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1.png"/><Relationship Id="rId4" Type="http://schemas.openxmlformats.org/officeDocument/2006/relationships/chart" Target="../charts/chart34.xml"/><Relationship Id="rId9" Type="http://schemas.openxmlformats.org/officeDocument/2006/relationships/image" Target="../media/image2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27.png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chart" Target="../charts/chart42.xml"/><Relationship Id="rId1" Type="http://schemas.openxmlformats.org/officeDocument/2006/relationships/image" Target="../media/image28.png"/><Relationship Id="rId4" Type="http://schemas.openxmlformats.org/officeDocument/2006/relationships/chart" Target="../charts/chart43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6.xml"/><Relationship Id="rId5" Type="http://schemas.openxmlformats.org/officeDocument/2006/relationships/image" Target="../media/image21.png"/><Relationship Id="rId4" Type="http://schemas.openxmlformats.org/officeDocument/2006/relationships/image" Target="../media/image25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5" Type="http://schemas.openxmlformats.org/officeDocument/2006/relationships/image" Target="../media/image15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33</xdr:row>
      <xdr:rowOff>5953</xdr:rowOff>
    </xdr:from>
    <xdr:to>
      <xdr:col>10</xdr:col>
      <xdr:colOff>422672</xdr:colOff>
      <xdr:row>36</xdr:row>
      <xdr:rowOff>41671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26C0B869-E657-07FD-DF8A-E9D5D1DD1A0A}"/>
            </a:ext>
          </a:extLst>
        </xdr:cNvPr>
        <xdr:cNvSpPr/>
      </xdr:nvSpPr>
      <xdr:spPr>
        <a:xfrm>
          <a:off x="381000" y="7745016"/>
          <a:ext cx="5095875" cy="607218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115607</xdr:colOff>
      <xdr:row>9</xdr:row>
      <xdr:rowOff>47291</xdr:rowOff>
    </xdr:from>
    <xdr:to>
      <xdr:col>11</xdr:col>
      <xdr:colOff>53787</xdr:colOff>
      <xdr:row>26</xdr:row>
      <xdr:rowOff>53577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H="1" flipV="1">
          <a:off x="341826" y="1952291"/>
          <a:ext cx="5278133" cy="3899630"/>
        </a:xfrm>
        <a:prstGeom prst="roundRect">
          <a:avLst/>
        </a:prstGeom>
        <a:solidFill>
          <a:srgbClr val="C00000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139423</xdr:colOff>
      <xdr:row>10</xdr:row>
      <xdr:rowOff>166687</xdr:rowOff>
    </xdr:from>
    <xdr:to>
      <xdr:col>5</xdr:col>
      <xdr:colOff>511973</xdr:colOff>
      <xdr:row>15</xdr:row>
      <xdr:rowOff>47291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5F5EE6C-D5D5-4393-AB97-44A41044C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214370</xdr:colOff>
      <xdr:row>2</xdr:row>
      <xdr:rowOff>92704</xdr:rowOff>
    </xdr:from>
    <xdr:to>
      <xdr:col>6</xdr:col>
      <xdr:colOff>572814</xdr:colOff>
      <xdr:row>7</xdr:row>
      <xdr:rowOff>74279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357185</xdr:colOff>
      <xdr:row>1</xdr:row>
      <xdr:rowOff>369090</xdr:rowOff>
    </xdr:from>
    <xdr:to>
      <xdr:col>9</xdr:col>
      <xdr:colOff>192656</xdr:colOff>
      <xdr:row>8</xdr:row>
      <xdr:rowOff>57380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107158</xdr:colOff>
      <xdr:row>1</xdr:row>
      <xdr:rowOff>357185</xdr:rowOff>
    </xdr:from>
    <xdr:to>
      <xdr:col>11</xdr:col>
      <xdr:colOff>274386</xdr:colOff>
      <xdr:row>8</xdr:row>
      <xdr:rowOff>47573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473868</xdr:colOff>
      <xdr:row>15</xdr:row>
      <xdr:rowOff>103489</xdr:rowOff>
    </xdr:from>
    <xdr:to>
      <xdr:col>3</xdr:col>
      <xdr:colOff>571498</xdr:colOff>
      <xdr:row>19</xdr:row>
      <xdr:rowOff>43958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439885</xdr:colOff>
      <xdr:row>19</xdr:row>
      <xdr:rowOff>29763</xdr:rowOff>
    </xdr:from>
    <xdr:to>
      <xdr:col>3</xdr:col>
      <xdr:colOff>559591</xdr:colOff>
      <xdr:row>22</xdr:row>
      <xdr:rowOff>164951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282604</xdr:colOff>
      <xdr:row>15</xdr:row>
      <xdr:rowOff>163022</xdr:rowOff>
    </xdr:from>
    <xdr:to>
      <xdr:col>6</xdr:col>
      <xdr:colOff>386951</xdr:colOff>
      <xdr:row>19</xdr:row>
      <xdr:rowOff>35032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268412</xdr:colOff>
      <xdr:row>19</xdr:row>
      <xdr:rowOff>35714</xdr:rowOff>
    </xdr:from>
    <xdr:to>
      <xdr:col>6</xdr:col>
      <xdr:colOff>392904</xdr:colOff>
      <xdr:row>23</xdr:row>
      <xdr:rowOff>5358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325437</xdr:colOff>
      <xdr:row>17</xdr:row>
      <xdr:rowOff>136920</xdr:rowOff>
    </xdr:from>
    <xdr:to>
      <xdr:col>9</xdr:col>
      <xdr:colOff>11905</xdr:colOff>
      <xdr:row>21</xdr:row>
      <xdr:rowOff>6918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3</xdr:col>
      <xdr:colOff>217287</xdr:colOff>
      <xdr:row>23</xdr:row>
      <xdr:rowOff>83948</xdr:rowOff>
    </xdr:from>
    <xdr:ext cx="1345094" cy="934494"/>
    <xdr:sp macro="" textlink="data!E13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382268" y="4655948"/>
          <a:ext cx="1345094" cy="934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7809853-8450-42B2-AD83-0D0B90D36BA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55% 
have tried to stop smoking during the past 12 months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551485</xdr:colOff>
      <xdr:row>23</xdr:row>
      <xdr:rowOff>133291</xdr:rowOff>
    </xdr:from>
    <xdr:to>
      <xdr:col>7</xdr:col>
      <xdr:colOff>117591</xdr:colOff>
      <xdr:row>25</xdr:row>
      <xdr:rowOff>552920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427" y="4705291"/>
          <a:ext cx="753068" cy="800629"/>
        </a:xfrm>
        <a:prstGeom prst="rect">
          <a:avLst/>
        </a:prstGeom>
      </xdr:spPr>
    </xdr:pic>
    <xdr:clientData/>
  </xdr:twoCellAnchor>
  <xdr:oneCellAnchor>
    <xdr:from>
      <xdr:col>7</xdr:col>
      <xdr:colOff>172950</xdr:colOff>
      <xdr:row>22</xdr:row>
      <xdr:rowOff>178590</xdr:rowOff>
    </xdr:from>
    <xdr:ext cx="1875183" cy="1008371"/>
    <xdr:sp macro="" textlink="data!E14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3711854" y="4560090"/>
          <a:ext cx="1875183" cy="1008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F0D0E11-1762-427B-ABE7-33C420D5D760}" type="TxLink">
            <a:rPr lang="en-US" sz="105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47% 
have been advised by a health care professional to stop smoking </a:t>
          </a:fld>
          <a:endParaRPr lang="en-US" sz="105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3</xdr:col>
      <xdr:colOff>535852</xdr:colOff>
      <xdr:row>26</xdr:row>
      <xdr:rowOff>125012</xdr:rowOff>
    </xdr:from>
    <xdr:to>
      <xdr:col>9</xdr:col>
      <xdr:colOff>366184</xdr:colOff>
      <xdr:row>30</xdr:row>
      <xdr:rowOff>125433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2</xdr:col>
      <xdr:colOff>33674</xdr:colOff>
      <xdr:row>7</xdr:row>
      <xdr:rowOff>59651</xdr:rowOff>
    </xdr:from>
    <xdr:ext cx="2667001" cy="286372"/>
    <xdr:sp macro="" textlink="data!A3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5174" y="1462424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BA2E1E-4BB3-EB47-BB1B-5BF7B1E0D05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current smokers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234477</xdr:colOff>
      <xdr:row>4</xdr:row>
      <xdr:rowOff>140571</xdr:rowOff>
    </xdr:from>
    <xdr:ext cx="476250" cy="300300"/>
    <xdr:sp macro="" textlink="data!A4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52774" y="1093071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B97A7F6-2608-EC47-A77B-DFD17A552DC1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224896</xdr:colOff>
      <xdr:row>3</xdr:row>
      <xdr:rowOff>122792</xdr:rowOff>
    </xdr:from>
    <xdr:ext cx="476250" cy="300300"/>
    <xdr:sp macro="" textlink="data!B4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743193" y="88479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2D06266-09E7-3F40-BD41-15634C6ECB05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17%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164521</xdr:colOff>
      <xdr:row>4</xdr:row>
      <xdr:rowOff>114833</xdr:rowOff>
    </xdr:from>
    <xdr:ext cx="497417" cy="300300"/>
    <xdr:sp macro="" textlink="data!K12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736521" y="1067333"/>
          <a:ext cx="497417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EC3DE3A-4AF4-D847-B0D8-46E6DE54F5FF}" type="TxLink">
            <a:rPr lang="en-US" sz="7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 </a:t>
          </a:fld>
          <a:endParaRPr lang="en-US" sz="7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459334</xdr:colOff>
      <xdr:row>3</xdr:row>
      <xdr:rowOff>60027</xdr:rowOff>
    </xdr:from>
    <xdr:ext cx="476250" cy="300300"/>
    <xdr:sp macro="" textlink="data!B5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001568" y="82202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C9B098A-FF09-DE43-926F-90ED467496B5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34637</xdr:colOff>
      <xdr:row>9</xdr:row>
      <xdr:rowOff>25504</xdr:rowOff>
    </xdr:from>
    <xdr:ext cx="4736522" cy="286372"/>
    <xdr:sp macro="" textlink="data!A6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06137" y="1895868"/>
          <a:ext cx="4736522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03B0CB9-22C6-B844-ACF9-758645F06FE2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current smokers</a:t>
          </a:fld>
          <a:r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 ...</a:t>
          </a:r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556284</xdr:colOff>
      <xdr:row>16</xdr:row>
      <xdr:rowOff>59212</xdr:rowOff>
    </xdr:from>
    <xdr:ext cx="705777" cy="449090"/>
    <xdr:sp macro="" textlink="data!A8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721265" y="3297712"/>
          <a:ext cx="705777" cy="449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69F7B91-65AF-3C44-A447-2B219969CF6B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manufactured cigarettes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572080</xdr:colOff>
      <xdr:row>16</xdr:row>
      <xdr:rowOff>129947</xdr:rowOff>
    </xdr:from>
    <xdr:ext cx="476250" cy="300300"/>
    <xdr:sp macro="" textlink="data!B8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143580" y="336844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97F86C0-3415-AF45-85C4-67E07C937AD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87%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540411</xdr:colOff>
      <xdr:row>19</xdr:row>
      <xdr:rowOff>152171</xdr:rowOff>
    </xdr:from>
    <xdr:ext cx="566870" cy="484809"/>
    <xdr:sp macro="" textlink="data!A9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701270" y="3962171"/>
          <a:ext cx="566870" cy="484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8138F7-11A5-F949-AEF7-330D5582BCAC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hand-rolled cigarettes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552633</xdr:colOff>
      <xdr:row>20</xdr:row>
      <xdr:rowOff>53014</xdr:rowOff>
    </xdr:from>
    <xdr:ext cx="476250" cy="300300"/>
    <xdr:sp macro="" textlink="data!B9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24133" y="4053514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87772D-C2BA-5745-9270-B0999DF337B8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7%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381659</xdr:colOff>
      <xdr:row>16</xdr:row>
      <xdr:rowOff>106835</xdr:rowOff>
    </xdr:from>
    <xdr:ext cx="476250" cy="392205"/>
    <xdr:sp macro="" textlink="data!A10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327082" y="3345335"/>
          <a:ext cx="476250" cy="392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96942B8-7B19-8F42-BB98-A83F0C410653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cigars, cheroots or cigarillos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385548</xdr:colOff>
      <xdr:row>16</xdr:row>
      <xdr:rowOff>150554</xdr:rowOff>
    </xdr:from>
    <xdr:ext cx="476250" cy="300300"/>
    <xdr:sp macro="" textlink="data!B10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2737490" y="3389054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4D73F61-BBEA-9843-8233-1EC17C8A0D9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377031</xdr:colOff>
      <xdr:row>20</xdr:row>
      <xdr:rowOff>18558</xdr:rowOff>
    </xdr:from>
    <xdr:ext cx="497416" cy="445121"/>
    <xdr:sp macro="" textlink="data!A11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3305969" y="4019058"/>
          <a:ext cx="497416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33743F8-2213-664C-BCCD-C2D9227D0B5F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pipes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376341</xdr:colOff>
      <xdr:row>20</xdr:row>
      <xdr:rowOff>80135</xdr:rowOff>
    </xdr:from>
    <xdr:ext cx="476250" cy="300300"/>
    <xdr:sp macro="" textlink="data!B11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728283" y="4080635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D6DFFCE-CEB2-514C-A193-78728480FCF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15212</xdr:colOff>
      <xdr:row>18</xdr:row>
      <xdr:rowOff>61553</xdr:rowOff>
    </xdr:from>
    <xdr:ext cx="508000" cy="445121"/>
    <xdr:sp macro="" textlink="data!A12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557446" y="3681053"/>
          <a:ext cx="508000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17DE699-7BAE-6D45-B675-97B69B3883A2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shisha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425897</xdr:colOff>
      <xdr:row>18</xdr:row>
      <xdr:rowOff>120383</xdr:rowOff>
    </xdr:from>
    <xdr:ext cx="476250" cy="300300"/>
    <xdr:sp macro="" textlink="data!B12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3944194" y="3739883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4CC4A37-5648-224E-8A7E-9614293B9845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18134</xdr:colOff>
      <xdr:row>33</xdr:row>
      <xdr:rowOff>138754</xdr:rowOff>
    </xdr:from>
    <xdr:ext cx="4178822" cy="464071"/>
    <xdr:sp macro="" textlink="data!A16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183115" y="7458350"/>
          <a:ext cx="4178822" cy="464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D26F34B-4F9C-42A5-B9FC-30BB8B8C4DD7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currently use any tobacco products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23187</xdr:colOff>
      <xdr:row>30</xdr:row>
      <xdr:rowOff>114026</xdr:rowOff>
    </xdr:from>
    <xdr:ext cx="3418177" cy="422672"/>
    <xdr:sp macro="" textlink="data!A15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781649" y="6774199"/>
          <a:ext cx="3418177" cy="422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6EAC61-7877-A94C-B8DA-71E132147EE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current smokeless users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91936</xdr:colOff>
      <xdr:row>3</xdr:row>
      <xdr:rowOff>65486</xdr:rowOff>
    </xdr:from>
    <xdr:to>
      <xdr:col>6</xdr:col>
      <xdr:colOff>147854</xdr:colOff>
      <xdr:row>6</xdr:row>
      <xdr:rowOff>156200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9071" y="827486"/>
          <a:ext cx="2774206" cy="662214"/>
        </a:xfrm>
        <a:prstGeom prst="rect">
          <a:avLst/>
        </a:prstGeom>
      </xdr:spPr>
    </xdr:pic>
    <xdr:clientData/>
  </xdr:twoCellAnchor>
  <xdr:twoCellAnchor editAs="oneCell">
    <xdr:from>
      <xdr:col>2</xdr:col>
      <xdr:colOff>119118</xdr:colOff>
      <xdr:row>26</xdr:row>
      <xdr:rowOff>253379</xdr:rowOff>
    </xdr:from>
    <xdr:to>
      <xdr:col>3</xdr:col>
      <xdr:colOff>537155</xdr:colOff>
      <xdr:row>30</xdr:row>
      <xdr:rowOff>79323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5A31CF6-3556-D3F7-2D2E-4DA0AC8A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618" y="6056302"/>
          <a:ext cx="1011518" cy="683194"/>
        </a:xfrm>
        <a:prstGeom prst="rect">
          <a:avLst/>
        </a:prstGeom>
      </xdr:spPr>
    </xdr:pic>
    <xdr:clientData/>
  </xdr:twoCellAnchor>
  <xdr:twoCellAnchor editAs="oneCell">
    <xdr:from>
      <xdr:col>1</xdr:col>
      <xdr:colOff>264981</xdr:colOff>
      <xdr:row>23</xdr:row>
      <xdr:rowOff>182715</xdr:rowOff>
    </xdr:from>
    <xdr:to>
      <xdr:col>3</xdr:col>
      <xdr:colOff>117481</xdr:colOff>
      <xdr:row>25</xdr:row>
      <xdr:rowOff>609864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5DF9202-20AC-56BA-EC26-CA74D942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16" y="4754715"/>
          <a:ext cx="790346" cy="808149"/>
        </a:xfrm>
        <a:prstGeom prst="rect">
          <a:avLst/>
        </a:prstGeom>
      </xdr:spPr>
    </xdr:pic>
    <xdr:clientData/>
  </xdr:twoCellAnchor>
  <xdr:twoCellAnchor editAs="oneCell">
    <xdr:from>
      <xdr:col>4</xdr:col>
      <xdr:colOff>43967</xdr:colOff>
      <xdr:row>26</xdr:row>
      <xdr:rowOff>273380</xdr:rowOff>
    </xdr:from>
    <xdr:to>
      <xdr:col>8</xdr:col>
      <xdr:colOff>500936</xdr:colOff>
      <xdr:row>30</xdr:row>
      <xdr:rowOff>78394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AEE4E85-C1E6-EC15-1A76-3E47B1977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02429" y="6076303"/>
          <a:ext cx="2750295" cy="662264"/>
        </a:xfrm>
        <a:prstGeom prst="rect">
          <a:avLst/>
        </a:prstGeom>
      </xdr:spPr>
    </xdr:pic>
    <xdr:clientData/>
  </xdr:twoCellAnchor>
  <xdr:oneCellAnchor>
    <xdr:from>
      <xdr:col>9</xdr:col>
      <xdr:colOff>482903</xdr:colOff>
      <xdr:row>4</xdr:row>
      <xdr:rowOff>129218</xdr:rowOff>
    </xdr:from>
    <xdr:ext cx="437030" cy="313764"/>
    <xdr:sp macro="" textlink="data!A5">
      <xdr:nvSpPr>
        <xdr:cNvPr id="37" name="TextBox 36">
          <a:extLst>
            <a:ext uri="{FF2B5EF4-FFF2-40B4-BE49-F238E27FC236}">
              <a16:creationId xmlns:a16="http://schemas.microsoft.com/office/drawing/2014/main" id="{F14154BC-180F-4E2C-9B7A-66700813032D}"/>
            </a:ext>
          </a:extLst>
        </xdr:cNvPr>
        <xdr:cNvSpPr txBox="1"/>
      </xdr:nvSpPr>
      <xdr:spPr>
        <a:xfrm>
          <a:off x="5025137" y="1081718"/>
          <a:ext cx="437030" cy="313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E1A8464-18F0-4F76-8277-D81AA75BA93E}" type="TxLink">
            <a:rPr lang="en-US" sz="900" b="0" i="0" u="none" strike="noStrike" baseline="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</a:t>
          </a:fld>
          <a:endParaRPr lang="en-US" sz="900" b="0" i="0" u="none" strike="noStrike" baseline="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425170</xdr:colOff>
      <xdr:row>12</xdr:row>
      <xdr:rowOff>41338</xdr:rowOff>
    </xdr:from>
    <xdr:ext cx="476250" cy="300300"/>
    <xdr:sp macro="" textlink="data!B7">
      <xdr:nvSpPr>
        <xdr:cNvPr id="38" name="TextBox 37">
          <a:extLst>
            <a:ext uri="{FF2B5EF4-FFF2-40B4-BE49-F238E27FC236}">
              <a16:creationId xmlns:a16="http://schemas.microsoft.com/office/drawing/2014/main" id="{9C404ABA-1601-4D48-9643-7E5ACB177EBD}"/>
            </a:ext>
          </a:extLst>
        </xdr:cNvPr>
        <xdr:cNvSpPr txBox="1"/>
      </xdr:nvSpPr>
      <xdr:spPr>
        <a:xfrm>
          <a:off x="2175389" y="2517838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C4BEF08-F2A3-41AB-93CE-2C79F9C9AD8C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29%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502563</xdr:colOff>
      <xdr:row>11</xdr:row>
      <xdr:rowOff>142540</xdr:rowOff>
    </xdr:from>
    <xdr:ext cx="1313143" cy="445121"/>
    <xdr:sp macro="" textlink="data!A7">
      <xdr:nvSpPr>
        <xdr:cNvPr id="41" name="TextBox 40">
          <a:extLst>
            <a:ext uri="{FF2B5EF4-FFF2-40B4-BE49-F238E27FC236}">
              <a16:creationId xmlns:a16="http://schemas.microsoft.com/office/drawing/2014/main" id="{673E44C4-209C-4AE8-942E-C145E88A5D0F}"/>
            </a:ext>
          </a:extLst>
        </xdr:cNvPr>
        <xdr:cNvSpPr txBox="1"/>
      </xdr:nvSpPr>
      <xdr:spPr>
        <a:xfrm>
          <a:off x="2842141" y="2428540"/>
          <a:ext cx="1313143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DF20A3E-C29E-4B4C-B2BF-5228A7E3B4D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daily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3</xdr:col>
      <xdr:colOff>0</xdr:colOff>
      <xdr:row>30</xdr:row>
      <xdr:rowOff>0</xdr:rowOff>
    </xdr:from>
    <xdr:to>
      <xdr:col>4</xdr:col>
      <xdr:colOff>9524</xdr:colOff>
      <xdr:row>31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36A1A74-324D-257C-98AE-EC55D62BF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6657975"/>
          <a:ext cx="600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30</xdr:row>
      <xdr:rowOff>0</xdr:rowOff>
    </xdr:from>
    <xdr:ext cx="598884" cy="200025"/>
    <xdr:pic>
      <xdr:nvPicPr>
        <xdr:cNvPr id="49" name="Picture 48">
          <a:extLst>
            <a:ext uri="{FF2B5EF4-FFF2-40B4-BE49-F238E27FC236}">
              <a16:creationId xmlns:a16="http://schemas.microsoft.com/office/drawing/2014/main" id="{87EC77A7-7F8E-434E-8633-EA91AB17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219" y="6655594"/>
          <a:ext cx="598884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267893</xdr:colOff>
      <xdr:row>33</xdr:row>
      <xdr:rowOff>192332</xdr:rowOff>
    </xdr:from>
    <xdr:to>
      <xdr:col>3</xdr:col>
      <xdr:colOff>35721</xdr:colOff>
      <xdr:row>35</xdr:row>
      <xdr:rowOff>150660</xdr:rowOff>
    </xdr:to>
    <xdr:sp macro="" textlink="data!B16">
      <xdr:nvSpPr>
        <xdr:cNvPr id="51" name="TextBox 50">
          <a:extLst>
            <a:ext uri="{FF2B5EF4-FFF2-40B4-BE49-F238E27FC236}">
              <a16:creationId xmlns:a16="http://schemas.microsoft.com/office/drawing/2014/main" id="{0BE13A8A-1DF4-930E-7530-A8151CB10681}"/>
            </a:ext>
          </a:extLst>
        </xdr:cNvPr>
        <xdr:cNvSpPr txBox="1"/>
      </xdr:nvSpPr>
      <xdr:spPr>
        <a:xfrm>
          <a:off x="495028" y="7511928"/>
          <a:ext cx="705674" cy="441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3C9B58EA-BAB3-42B2-BEF0-DDC3D3F3560E}" type="TxLink">
            <a:rPr lang="en-US" sz="15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10%</a:t>
          </a:fld>
          <a:endParaRPr lang="en-GB" sz="15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73602</xdr:colOff>
      <xdr:row>15</xdr:row>
      <xdr:rowOff>4330</xdr:rowOff>
    </xdr:from>
    <xdr:to>
      <xdr:col>8</xdr:col>
      <xdr:colOff>186764</xdr:colOff>
      <xdr:row>23</xdr:row>
      <xdr:rowOff>122208</xdr:rowOff>
    </xdr:to>
    <xdr:sp macro="" textlink="">
      <xdr:nvSpPr>
        <xdr:cNvPr id="3088" name="Rectangle: Rounded Corners 41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>
        <a:xfrm flipH="1" flipV="1">
          <a:off x="73602" y="3052330"/>
          <a:ext cx="4040060" cy="1641878"/>
        </a:xfrm>
        <a:prstGeom prst="roundRect">
          <a:avLst/>
        </a:prstGeom>
        <a:solidFill>
          <a:srgbClr val="DDBE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119118</xdr:colOff>
      <xdr:row>2</xdr:row>
      <xdr:rowOff>112059</xdr:rowOff>
    </xdr:from>
    <xdr:to>
      <xdr:col>6</xdr:col>
      <xdr:colOff>40761</xdr:colOff>
      <xdr:row>6</xdr:row>
      <xdr:rowOff>173019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158325</xdr:colOff>
      <xdr:row>3</xdr:row>
      <xdr:rowOff>42969</xdr:rowOff>
    </xdr:from>
    <xdr:to>
      <xdr:col>17</xdr:col>
      <xdr:colOff>398827</xdr:colOff>
      <xdr:row>8</xdr:row>
      <xdr:rowOff>85012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1991</xdr:colOff>
      <xdr:row>8</xdr:row>
      <xdr:rowOff>113188</xdr:rowOff>
    </xdr:from>
    <xdr:to>
      <xdr:col>6</xdr:col>
      <xdr:colOff>45842</xdr:colOff>
      <xdr:row>12</xdr:row>
      <xdr:rowOff>163761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440764</xdr:colOff>
      <xdr:row>4</xdr:row>
      <xdr:rowOff>38454</xdr:rowOff>
    </xdr:from>
    <xdr:to>
      <xdr:col>9</xdr:col>
      <xdr:colOff>3728</xdr:colOff>
      <xdr:row>13</xdr:row>
      <xdr:rowOff>51953</xdr:rowOff>
    </xdr:to>
    <xdr:sp macro="" textlink="">
      <xdr:nvSpPr>
        <xdr:cNvPr id="3077" name="Rectangle: Rounded Corners 4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>
        <a:xfrm flipH="1" flipV="1">
          <a:off x="2674809" y="990954"/>
          <a:ext cx="1446317" cy="1727999"/>
        </a:xfrm>
        <a:prstGeom prst="roundRect">
          <a:avLst/>
        </a:prstGeom>
        <a:solidFill>
          <a:srgbClr val="DDBE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498558</xdr:colOff>
      <xdr:row>4</xdr:row>
      <xdr:rowOff>90920</xdr:rowOff>
    </xdr:from>
    <xdr:to>
      <xdr:col>6</xdr:col>
      <xdr:colOff>567170</xdr:colOff>
      <xdr:row>8</xdr:row>
      <xdr:rowOff>23443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25540</xdr:colOff>
      <xdr:row>4</xdr:row>
      <xdr:rowOff>10179</xdr:rowOff>
    </xdr:from>
    <xdr:to>
      <xdr:col>8</xdr:col>
      <xdr:colOff>174354</xdr:colOff>
      <xdr:row>8</xdr:row>
      <xdr:rowOff>56197</xdr:rowOff>
    </xdr:to>
    <xdr:graphicFrame macro="">
      <xdr:nvGraphicFramePr>
        <xdr:cNvPr id="3085" name="Chart 3084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21221</xdr:colOff>
      <xdr:row>7</xdr:row>
      <xdr:rowOff>143068</xdr:rowOff>
    </xdr:from>
    <xdr:to>
      <xdr:col>8</xdr:col>
      <xdr:colOff>170035</xdr:colOff>
      <xdr:row>11</xdr:row>
      <xdr:rowOff>185744</xdr:rowOff>
    </xdr:to>
    <xdr:graphicFrame macro="">
      <xdr:nvGraphicFramePr>
        <xdr:cNvPr id="3087" name="Chart 3086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58492</xdr:colOff>
      <xdr:row>5</xdr:row>
      <xdr:rowOff>76053</xdr:rowOff>
    </xdr:from>
    <xdr:ext cx="349710" cy="331419"/>
    <xdr:sp macro="" textlink="data!E20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81356" y="1219053"/>
          <a:ext cx="349710" cy="3314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D286CD-734A-EB47-884D-FF6C0ABF6825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36% 
of men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543693</xdr:colOff>
      <xdr:row>17</xdr:row>
      <xdr:rowOff>15812</xdr:rowOff>
    </xdr:from>
    <xdr:ext cx="489305" cy="268945"/>
    <xdr:sp macro="" textlink="data!B27">
      <xdr:nvSpPr>
        <xdr:cNvPr id="3091" name="TextBox 3090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 txBox="1"/>
      </xdr:nvSpPr>
      <xdr:spPr>
        <a:xfrm>
          <a:off x="1601469" y="3444812"/>
          <a:ext cx="4893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B73C7B-0376-E946-8198-F4A2409E4FA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7</xdr:col>
      <xdr:colOff>182534</xdr:colOff>
      <xdr:row>20</xdr:row>
      <xdr:rowOff>126439</xdr:rowOff>
    </xdr:from>
    <xdr:to>
      <xdr:col>7</xdr:col>
      <xdr:colOff>415636</xdr:colOff>
      <xdr:row>23</xdr:row>
      <xdr:rowOff>29011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216" y="4126939"/>
          <a:ext cx="233102" cy="474072"/>
        </a:xfrm>
        <a:prstGeom prst="rect">
          <a:avLst/>
        </a:prstGeom>
      </xdr:spPr>
    </xdr:pic>
    <xdr:clientData/>
  </xdr:twoCellAnchor>
  <xdr:twoCellAnchor editAs="oneCell">
    <xdr:from>
      <xdr:col>7</xdr:col>
      <xdr:colOff>218211</xdr:colOff>
      <xdr:row>16</xdr:row>
      <xdr:rowOff>103730</xdr:rowOff>
    </xdr:from>
    <xdr:to>
      <xdr:col>7</xdr:col>
      <xdr:colOff>406977</xdr:colOff>
      <xdr:row>19</xdr:row>
      <xdr:rowOff>9149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893" y="3342230"/>
          <a:ext cx="188766" cy="476919"/>
        </a:xfrm>
        <a:prstGeom prst="rect">
          <a:avLst/>
        </a:prstGeom>
      </xdr:spPr>
    </xdr:pic>
    <xdr:clientData/>
  </xdr:twoCellAnchor>
  <xdr:oneCellAnchor>
    <xdr:from>
      <xdr:col>6</xdr:col>
      <xdr:colOff>1355</xdr:colOff>
      <xdr:row>19</xdr:row>
      <xdr:rowOff>14938</xdr:rowOff>
    </xdr:from>
    <xdr:ext cx="280065" cy="306295"/>
    <xdr:sp macro="" textlink="data!#REF!">
      <xdr:nvSpPr>
        <xdr:cNvPr id="3107" name="TextBox 3106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 txBox="1"/>
      </xdr:nvSpPr>
      <xdr:spPr>
        <a:xfrm>
          <a:off x="2824219" y="3824938"/>
          <a:ext cx="280065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147101</xdr:colOff>
      <xdr:row>5</xdr:row>
      <xdr:rowOff>17317</xdr:rowOff>
    </xdr:from>
    <xdr:ext cx="391314" cy="412026"/>
    <xdr:sp macro="" textlink="data!E21">
      <xdr:nvSpPr>
        <xdr:cNvPr id="3109" name="TextBox 3108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 txBox="1"/>
      </xdr:nvSpPr>
      <xdr:spPr>
        <a:xfrm>
          <a:off x="3558783" y="1160317"/>
          <a:ext cx="391314" cy="412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0D49FC4-229C-0F4F-A2C9-A58E39B61DD5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19% 
of women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5</xdr:col>
      <xdr:colOff>505186</xdr:colOff>
      <xdr:row>7</xdr:row>
      <xdr:rowOff>158986</xdr:rowOff>
    </xdr:from>
    <xdr:to>
      <xdr:col>6</xdr:col>
      <xdr:colOff>545303</xdr:colOff>
      <xdr:row>12</xdr:row>
      <xdr:rowOff>14111</xdr:rowOff>
    </xdr:to>
    <xdr:graphicFrame macro="">
      <xdr:nvGraphicFramePr>
        <xdr:cNvPr id="3110" name="Chart 3109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588684</xdr:colOff>
      <xdr:row>8</xdr:row>
      <xdr:rowOff>134215</xdr:rowOff>
    </xdr:from>
    <xdr:ext cx="467727" cy="455507"/>
    <xdr:sp macro="" textlink="data!E22">
      <xdr:nvSpPr>
        <xdr:cNvPr id="3111" name="TextBox 3110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 txBox="1"/>
      </xdr:nvSpPr>
      <xdr:spPr>
        <a:xfrm>
          <a:off x="2822729" y="1848715"/>
          <a:ext cx="467727" cy="4555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9EE5C4-8B78-F54F-9710-3F958F561EA0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31% 
of 18-44 years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100268</xdr:colOff>
      <xdr:row>8</xdr:row>
      <xdr:rowOff>50183</xdr:rowOff>
    </xdr:from>
    <xdr:ext cx="478118" cy="578069"/>
    <xdr:sp macro="" textlink="data!E23">
      <xdr:nvSpPr>
        <xdr:cNvPr id="3112" name="TextBox 311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 txBox="1"/>
      </xdr:nvSpPr>
      <xdr:spPr>
        <a:xfrm>
          <a:off x="3511950" y="1764683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7B804F9-C361-5542-9086-B4318635B7A3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22% 
of 45-69 years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581567</xdr:colOff>
      <xdr:row>18</xdr:row>
      <xdr:rowOff>43062</xdr:rowOff>
    </xdr:from>
    <xdr:ext cx="1574091" cy="824213"/>
    <xdr:sp macro="" textlink="data!A27">
      <xdr:nvSpPr>
        <xdr:cNvPr id="3114" name="TextBox 3113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 txBox="1"/>
      </xdr:nvSpPr>
      <xdr:spPr>
        <a:xfrm>
          <a:off x="1047791" y="3662562"/>
          <a:ext cx="1574091" cy="824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BBD8E78-A54C-EA4A-B70C-53487E38F50B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consumed 6 or more drinks on one occasion in the past 30 days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176819</xdr:colOff>
      <xdr:row>15</xdr:row>
      <xdr:rowOff>160421</xdr:rowOff>
    </xdr:from>
    <xdr:ext cx="508005" cy="231802"/>
    <xdr:sp macro="" textlink="data!B28">
      <xdr:nvSpPr>
        <xdr:cNvPr id="3115" name="TextBox 3114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 txBox="1"/>
      </xdr:nvSpPr>
      <xdr:spPr>
        <a:xfrm>
          <a:off x="3009253" y="3143250"/>
          <a:ext cx="508005" cy="2318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D3863934-8C0F-8248-B431-E69F67BDA6D1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13%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117996</xdr:colOff>
      <xdr:row>19</xdr:row>
      <xdr:rowOff>155408</xdr:rowOff>
    </xdr:from>
    <xdr:ext cx="508005" cy="255907"/>
    <xdr:sp macro="" textlink="data!B29">
      <xdr:nvSpPr>
        <xdr:cNvPr id="3116" name="TextBox 3115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 txBox="1"/>
      </xdr:nvSpPr>
      <xdr:spPr>
        <a:xfrm>
          <a:off x="2950430" y="3900237"/>
          <a:ext cx="508005" cy="2559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4F23BAF6-B9E5-2446-9782-589200C061D9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128272</xdr:colOff>
      <xdr:row>17</xdr:row>
      <xdr:rowOff>5014</xdr:rowOff>
    </xdr:from>
    <xdr:ext cx="605118" cy="501316"/>
    <xdr:sp macro="" textlink="data!A28">
      <xdr:nvSpPr>
        <xdr:cNvPr id="3117" name="TextBox 3116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 txBox="1"/>
      </xdr:nvSpPr>
      <xdr:spPr>
        <a:xfrm>
          <a:off x="2960706" y="3368843"/>
          <a:ext cx="605118" cy="501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206B28C-369D-6249-90C9-34D6512F3C62}" type="TxLink">
            <a:rPr lang="en-US" sz="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consumed 6 or more drinks on one occasion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76574</xdr:colOff>
      <xdr:row>21</xdr:row>
      <xdr:rowOff>30079</xdr:rowOff>
    </xdr:from>
    <xdr:ext cx="605117" cy="506329"/>
    <xdr:sp macro="" textlink="data!A29">
      <xdr:nvSpPr>
        <xdr:cNvPr id="3118" name="TextBox 3117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 txBox="1"/>
      </xdr:nvSpPr>
      <xdr:spPr>
        <a:xfrm>
          <a:off x="2909008" y="4155908"/>
          <a:ext cx="605117" cy="506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6E9F306-6DBF-3A4A-B712-88AA3A748712}" type="TxLink">
            <a:rPr lang="en-US" sz="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consumed 6 or more drinks on one occasion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84630</xdr:colOff>
      <xdr:row>3</xdr:row>
      <xdr:rowOff>58127</xdr:rowOff>
    </xdr:from>
    <xdr:to>
      <xdr:col>5</xdr:col>
      <xdr:colOff>301189</xdr:colOff>
      <xdr:row>6</xdr:row>
      <xdr:rowOff>69796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0187" y="820127"/>
          <a:ext cx="2325047" cy="583169"/>
        </a:xfrm>
        <a:prstGeom prst="rect">
          <a:avLst/>
        </a:prstGeom>
      </xdr:spPr>
    </xdr:pic>
    <xdr:clientData/>
  </xdr:twoCellAnchor>
  <xdr:twoCellAnchor editAs="oneCell">
    <xdr:from>
      <xdr:col>1</xdr:col>
      <xdr:colOff>93454</xdr:colOff>
      <xdr:row>9</xdr:row>
      <xdr:rowOff>63173</xdr:rowOff>
    </xdr:from>
    <xdr:to>
      <xdr:col>5</xdr:col>
      <xdr:colOff>305519</xdr:colOff>
      <xdr:row>12</xdr:row>
      <xdr:rowOff>67814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011" y="1968173"/>
          <a:ext cx="2320553" cy="576141"/>
        </a:xfrm>
        <a:prstGeom prst="rect">
          <a:avLst/>
        </a:prstGeom>
      </xdr:spPr>
    </xdr:pic>
    <xdr:clientData/>
  </xdr:twoCellAnchor>
  <xdr:twoCellAnchor>
    <xdr:from>
      <xdr:col>2</xdr:col>
      <xdr:colOff>75727</xdr:colOff>
      <xdr:row>12</xdr:row>
      <xdr:rowOff>128824</xdr:rowOff>
    </xdr:from>
    <xdr:to>
      <xdr:col>5</xdr:col>
      <xdr:colOff>406407</xdr:colOff>
      <xdr:row>15</xdr:row>
      <xdr:rowOff>64127</xdr:rowOff>
    </xdr:to>
    <xdr:sp macro="" textlink="data!A25">
      <xdr:nvSpPr>
        <xdr:cNvPr id="3" name="TextBox 2">
          <a:extLst>
            <a:ext uri="{FF2B5EF4-FFF2-40B4-BE49-F238E27FC236}">
              <a16:creationId xmlns:a16="http://schemas.microsoft.com/office/drawing/2014/main" id="{5829F6CA-AE1D-4665-3869-EBC8FD99FCAB}"/>
            </a:ext>
          </a:extLst>
        </xdr:cNvPr>
        <xdr:cNvSpPr txBox="1"/>
      </xdr:nvSpPr>
      <xdr:spPr>
        <a:xfrm>
          <a:off x="543318" y="2605324"/>
          <a:ext cx="2097134" cy="506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fld id="{A3C8AE39-5196-4839-A93D-6048F4B1C3FB}" type="TxLink">
            <a:rPr lang="en-US" sz="10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of the population are lifetime abstainers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2</xdr:col>
      <xdr:colOff>12989</xdr:colOff>
      <xdr:row>6</xdr:row>
      <xdr:rowOff>103910</xdr:rowOff>
    </xdr:from>
    <xdr:to>
      <xdr:col>5</xdr:col>
      <xdr:colOff>343669</xdr:colOff>
      <xdr:row>9</xdr:row>
      <xdr:rowOff>39213</xdr:rowOff>
    </xdr:to>
    <xdr:sp macro="" textlink="data!A19">
      <xdr:nvSpPr>
        <xdr:cNvPr id="5" name="TextBox 4">
          <a:extLst>
            <a:ext uri="{FF2B5EF4-FFF2-40B4-BE49-F238E27FC236}">
              <a16:creationId xmlns:a16="http://schemas.microsoft.com/office/drawing/2014/main" id="{103E2B03-7E10-407A-BBEF-CAD520557D64}"/>
            </a:ext>
          </a:extLst>
        </xdr:cNvPr>
        <xdr:cNvSpPr txBox="1"/>
      </xdr:nvSpPr>
      <xdr:spPr>
        <a:xfrm>
          <a:off x="480580" y="1437410"/>
          <a:ext cx="2097134" cy="506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fld id="{01A77BE0-BE98-4CDD-8724-91D9BCBB16D2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of the population are current drinkers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4330</xdr:colOff>
      <xdr:row>6</xdr:row>
      <xdr:rowOff>129888</xdr:rowOff>
    </xdr:from>
    <xdr:to>
      <xdr:col>1</xdr:col>
      <xdr:colOff>290080</xdr:colOff>
      <xdr:row>8</xdr:row>
      <xdr:rowOff>69274</xdr:rowOff>
    </xdr:to>
    <xdr:sp macro="" textlink="data!B19">
      <xdr:nvSpPr>
        <xdr:cNvPr id="7" name="TextBox 6">
          <a:extLst>
            <a:ext uri="{FF2B5EF4-FFF2-40B4-BE49-F238E27FC236}">
              <a16:creationId xmlns:a16="http://schemas.microsoft.com/office/drawing/2014/main" id="{9B797D5E-D3E1-4D38-BA81-B46502B719CF}"/>
            </a:ext>
          </a:extLst>
        </xdr:cNvPr>
        <xdr:cNvSpPr txBox="1"/>
      </xdr:nvSpPr>
      <xdr:spPr>
        <a:xfrm>
          <a:off x="4330" y="1463388"/>
          <a:ext cx="411307" cy="320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r"/>
          <a:fld id="{E3ED2A9C-4952-4444-BFA0-1E98B788ABFA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27%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82261</xdr:colOff>
      <xdr:row>12</xdr:row>
      <xdr:rowOff>138546</xdr:rowOff>
    </xdr:from>
    <xdr:to>
      <xdr:col>2</xdr:col>
      <xdr:colOff>17318</xdr:colOff>
      <xdr:row>14</xdr:row>
      <xdr:rowOff>38966</xdr:rowOff>
    </xdr:to>
    <xdr:sp macro="" textlink="data!B25">
      <xdr:nvSpPr>
        <xdr:cNvPr id="9" name="TextBox 8">
          <a:extLst>
            <a:ext uri="{FF2B5EF4-FFF2-40B4-BE49-F238E27FC236}">
              <a16:creationId xmlns:a16="http://schemas.microsoft.com/office/drawing/2014/main" id="{FDDA7326-CF5E-43E9-9B27-429FB9D1AD08}"/>
            </a:ext>
          </a:extLst>
        </xdr:cNvPr>
        <xdr:cNvSpPr txBox="1"/>
      </xdr:nvSpPr>
      <xdr:spPr>
        <a:xfrm>
          <a:off x="82261" y="2615046"/>
          <a:ext cx="402648" cy="28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r"/>
          <a:fld id="{2E1DE438-C515-4C88-8DCE-25F4B9F9A839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14%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oneCellAnchor>
    <xdr:from>
      <xdr:col>6</xdr:col>
      <xdr:colOff>3479</xdr:colOff>
      <xdr:row>10</xdr:row>
      <xdr:rowOff>181329</xdr:rowOff>
    </xdr:from>
    <xdr:ext cx="1178238" cy="418918"/>
    <xdr:sp macro="" textlink="data!A24">
      <xdr:nvSpPr>
        <xdr:cNvPr id="10" name="TextBox 9">
          <a:extLst>
            <a:ext uri="{FF2B5EF4-FFF2-40B4-BE49-F238E27FC236}">
              <a16:creationId xmlns:a16="http://schemas.microsoft.com/office/drawing/2014/main" id="{328D587A-3094-402D-959C-0CCE1EEAE789}"/>
            </a:ext>
          </a:extLst>
        </xdr:cNvPr>
        <xdr:cNvSpPr txBox="1"/>
      </xdr:nvSpPr>
      <xdr:spPr>
        <a:xfrm>
          <a:off x="2826343" y="2276829"/>
          <a:ext cx="1178238" cy="41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874A2EBC-C67A-4BD3-ACDF-0A77B98E5146}" type="TxLink">
            <a:rPr lang="en-US" sz="1100" b="1" i="0" u="none" strike="noStrike">
              <a:solidFill>
                <a:schemeClr val="bg1"/>
              </a:solidFill>
              <a:latin typeface="Aptos Narrow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are current drinkers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210554</xdr:colOff>
      <xdr:row>15</xdr:row>
      <xdr:rowOff>1737</xdr:rowOff>
    </xdr:from>
    <xdr:ext cx="3549314" cy="296459"/>
    <xdr:sp macro="" textlink="data!A26">
      <xdr:nvSpPr>
        <xdr:cNvPr id="13" name="TextBox 12">
          <a:extLst>
            <a:ext uri="{FF2B5EF4-FFF2-40B4-BE49-F238E27FC236}">
              <a16:creationId xmlns:a16="http://schemas.microsoft.com/office/drawing/2014/main" id="{10C1F045-80D0-4B31-8F11-3CD562E76FDC}"/>
            </a:ext>
          </a:extLst>
        </xdr:cNvPr>
        <xdr:cNvSpPr txBox="1"/>
      </xdr:nvSpPr>
      <xdr:spPr>
        <a:xfrm>
          <a:off x="335364" y="2984047"/>
          <a:ext cx="3549314" cy="2964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514FEEF8-AD9E-4D7D-A4B0-1D9CDB030A4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Heavy episodic drinking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520212</xdr:colOff>
      <xdr:row>0</xdr:row>
      <xdr:rowOff>58615</xdr:rowOff>
    </xdr:from>
    <xdr:to>
      <xdr:col>7</xdr:col>
      <xdr:colOff>388327</xdr:colOff>
      <xdr:row>3</xdr:row>
      <xdr:rowOff>146538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A3E63E-345E-30CD-5D1A-A2C056AF8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9577" y="58615"/>
          <a:ext cx="1055077" cy="783981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16</xdr:row>
      <xdr:rowOff>115303</xdr:rowOff>
    </xdr:from>
    <xdr:to>
      <xdr:col>2</xdr:col>
      <xdr:colOff>582358</xdr:colOff>
      <xdr:row>21</xdr:row>
      <xdr:rowOff>186466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45F2BF-CDD1-C7B6-EC1A-D587BDD2D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6" y="3288632"/>
          <a:ext cx="913226" cy="1023663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366058</xdr:colOff>
      <xdr:row>1</xdr:row>
      <xdr:rowOff>327288</xdr:rowOff>
    </xdr:from>
    <xdr:to>
      <xdr:col>8</xdr:col>
      <xdr:colOff>156884</xdr:colOff>
      <xdr:row>12</xdr:row>
      <xdr:rowOff>196620</xdr:rowOff>
    </xdr:to>
    <xdr:sp macro="" textlink="">
      <xdr:nvSpPr>
        <xdr:cNvPr id="77" name="Rectangle: Rounded Corners 4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 flipH="1" flipV="1">
          <a:off x="2711179" y="576909"/>
          <a:ext cx="1485619" cy="2759677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6</xdr:col>
      <xdr:colOff>43295</xdr:colOff>
      <xdr:row>1</xdr:row>
      <xdr:rowOff>280175</xdr:rowOff>
    </xdr:from>
    <xdr:to>
      <xdr:col>7</xdr:col>
      <xdr:colOff>356127</xdr:colOff>
      <xdr:row>5</xdr:row>
      <xdr:rowOff>167626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66CB54-D012-4850-BCB8-8D086F624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127476</xdr:colOff>
      <xdr:row>1</xdr:row>
      <xdr:rowOff>376667</xdr:rowOff>
    </xdr:from>
    <xdr:to>
      <xdr:col>5</xdr:col>
      <xdr:colOff>86590</xdr:colOff>
      <xdr:row>3</xdr:row>
      <xdr:rowOff>246704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590174</xdr:colOff>
      <xdr:row>26</xdr:row>
      <xdr:rowOff>14938</xdr:rowOff>
    </xdr:from>
    <xdr:ext cx="530414" cy="306295"/>
    <xdr:sp macro="" textlink="data!#REF!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3269874" y="3520138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21775</xdr:colOff>
      <xdr:row>4</xdr:row>
      <xdr:rowOff>204475</xdr:rowOff>
    </xdr:from>
    <xdr:ext cx="1803166" cy="362695"/>
    <xdr:sp macro="" textlink="data!A33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251241" y="1325827"/>
          <a:ext cx="1803166" cy="3626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81D023A7-32A2-CD4F-ACFF-65EB1806F8C7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mean number of days fruits are consumed in a typical week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179501</xdr:colOff>
      <xdr:row>2</xdr:row>
      <xdr:rowOff>21793</xdr:rowOff>
    </xdr:from>
    <xdr:to>
      <xdr:col>4</xdr:col>
      <xdr:colOff>572973</xdr:colOff>
      <xdr:row>3</xdr:row>
      <xdr:rowOff>246933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01" y="527603"/>
          <a:ext cx="2147386" cy="474761"/>
        </a:xfrm>
        <a:prstGeom prst="rect">
          <a:avLst/>
        </a:prstGeom>
      </xdr:spPr>
    </xdr:pic>
    <xdr:clientData/>
  </xdr:twoCellAnchor>
  <xdr:twoCellAnchor>
    <xdr:from>
      <xdr:col>0</xdr:col>
      <xdr:colOff>127475</xdr:colOff>
      <xdr:row>7</xdr:row>
      <xdr:rowOff>50130</xdr:rowOff>
    </xdr:from>
    <xdr:to>
      <xdr:col>5</xdr:col>
      <xdr:colOff>474579</xdr:colOff>
      <xdr:row>10</xdr:row>
      <xdr:rowOff>108625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23826</xdr:colOff>
      <xdr:row>10</xdr:row>
      <xdr:rowOff>198096</xdr:rowOff>
    </xdr:from>
    <xdr:ext cx="1803166" cy="473861"/>
    <xdr:sp macro="" textlink="data!A34">
      <xdr:nvSpPr>
        <xdr:cNvPr id="72" name="TextBox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254431" y="2809951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F847CCD0-85BB-4BD9-B32D-9E8346664AAE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mean number of days vegetables consumed in a typical week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183797</xdr:colOff>
      <xdr:row>7</xdr:row>
      <xdr:rowOff>134605</xdr:rowOff>
    </xdr:from>
    <xdr:to>
      <xdr:col>5</xdr:col>
      <xdr:colOff>209295</xdr:colOff>
      <xdr:row>10</xdr:row>
      <xdr:rowOff>50582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97" y="2017624"/>
          <a:ext cx="2377440" cy="670650"/>
        </a:xfrm>
        <a:prstGeom prst="rect">
          <a:avLst/>
        </a:prstGeom>
      </xdr:spPr>
    </xdr:pic>
    <xdr:clientData/>
  </xdr:twoCellAnchor>
  <xdr:oneCellAnchor>
    <xdr:from>
      <xdr:col>5</xdr:col>
      <xdr:colOff>431131</xdr:colOff>
      <xdr:row>5</xdr:row>
      <xdr:rowOff>10302</xdr:rowOff>
    </xdr:from>
    <xdr:ext cx="1363579" cy="635075"/>
    <xdr:sp macro="" textlink="data!A35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2776252" y="1389785"/>
          <a:ext cx="1363579" cy="63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251A05-167B-FE4F-952B-E1C7F8886465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eat less than 5 servings of fruit and/or vegetables per day</a:t>
          </a:fld>
          <a:endParaRPr lang="en-US" sz="8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6</xdr:col>
      <xdr:colOff>30306</xdr:colOff>
      <xdr:row>7</xdr:row>
      <xdr:rowOff>53579</xdr:rowOff>
    </xdr:from>
    <xdr:to>
      <xdr:col>7</xdr:col>
      <xdr:colOff>343138</xdr:colOff>
      <xdr:row>11</xdr:row>
      <xdr:rowOff>66587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5</xdr:col>
      <xdr:colOff>416093</xdr:colOff>
      <xdr:row>10</xdr:row>
      <xdr:rowOff>126691</xdr:rowOff>
    </xdr:from>
    <xdr:ext cx="1378618" cy="537372"/>
    <xdr:sp macro="" textlink="data!A36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2761214" y="2767415"/>
          <a:ext cx="1378618" cy="5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AE6B6A-01C1-904D-B2B0-B1E95C0826EB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eat any fruit or vegetables</a:t>
          </a:fld>
          <a:endParaRPr lang="en-US" sz="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77676</xdr:colOff>
      <xdr:row>8</xdr:row>
      <xdr:rowOff>88829</xdr:rowOff>
    </xdr:from>
    <xdr:ext cx="816746" cy="437884"/>
    <xdr:sp macro="" textlink="data!B36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3014004" y="2230312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F0A30A-58E6-6B46-A431-1AAA7FBF71ED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26%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82562</xdr:colOff>
      <xdr:row>16</xdr:row>
      <xdr:rowOff>207633</xdr:rowOff>
    </xdr:from>
    <xdr:ext cx="1905000" cy="473861"/>
    <xdr:sp macro="" textlink="data!A37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654062" y="4352650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E35F49C-B296-F746-B84D-6ACD3B0A9C54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always or often eat processed foods high in salt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129447</xdr:colOff>
      <xdr:row>14</xdr:row>
      <xdr:rowOff>216776</xdr:rowOff>
    </xdr:from>
    <xdr:to>
      <xdr:col>5</xdr:col>
      <xdr:colOff>521761</xdr:colOff>
      <xdr:row>16</xdr:row>
      <xdr:rowOff>239574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366059</xdr:colOff>
      <xdr:row>14</xdr:row>
      <xdr:rowOff>80596</xdr:rowOff>
    </xdr:from>
    <xdr:to>
      <xdr:col>8</xdr:col>
      <xdr:colOff>156885</xdr:colOff>
      <xdr:row>18</xdr:row>
      <xdr:rowOff>138076</xdr:rowOff>
    </xdr:to>
    <xdr:sp macro="" textlink="">
      <xdr:nvSpPr>
        <xdr:cNvPr id="104" name="Rectangle: Rounded Corners 4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 flipH="1" flipV="1">
          <a:off x="2718001" y="3722077"/>
          <a:ext cx="1490672" cy="1061268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150730</xdr:colOff>
      <xdr:row>1</xdr:row>
      <xdr:rowOff>351924</xdr:rowOff>
    </xdr:from>
    <xdr:to>
      <xdr:col>1</xdr:col>
      <xdr:colOff>15375</xdr:colOff>
      <xdr:row>2</xdr:row>
      <xdr:rowOff>80144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D4EEDD1-14E5-2BD6-0FFF-40E89F1479B7}"/>
            </a:ext>
          </a:extLst>
        </xdr:cNvPr>
        <xdr:cNvSpPr/>
      </xdr:nvSpPr>
      <xdr:spPr>
        <a:xfrm>
          <a:off x="150730" y="597569"/>
          <a:ext cx="95250" cy="109220"/>
        </a:xfrm>
        <a:prstGeom prst="rect">
          <a:avLst/>
        </a:prstGeom>
        <a:solidFill>
          <a:srgbClr val="46295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158416</xdr:colOff>
      <xdr:row>7</xdr:row>
      <xdr:rowOff>93244</xdr:rowOff>
    </xdr:from>
    <xdr:to>
      <xdr:col>1</xdr:col>
      <xdr:colOff>25066</xdr:colOff>
      <xdr:row>7</xdr:row>
      <xdr:rowOff>254935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92BC9B-FBE6-C10C-6DCD-E014E9F3C31A}"/>
            </a:ext>
          </a:extLst>
        </xdr:cNvPr>
        <xdr:cNvSpPr/>
      </xdr:nvSpPr>
      <xdr:spPr>
        <a:xfrm>
          <a:off x="158416" y="1958139"/>
          <a:ext cx="97255" cy="161691"/>
        </a:xfrm>
        <a:prstGeom prst="rect">
          <a:avLst/>
        </a:prstGeom>
        <a:solidFill>
          <a:srgbClr val="46295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oneCellAnchor>
    <xdr:from>
      <xdr:col>6</xdr:col>
      <xdr:colOff>260383</xdr:colOff>
      <xdr:row>3</xdr:row>
      <xdr:rowOff>5971</xdr:rowOff>
    </xdr:from>
    <xdr:ext cx="492958" cy="365742"/>
    <xdr:sp macro="" textlink="data!B35">
      <xdr:nvSpPr>
        <xdr:cNvPr id="9" name="TextBox 8">
          <a:extLst>
            <a:ext uri="{FF2B5EF4-FFF2-40B4-BE49-F238E27FC236}">
              <a16:creationId xmlns:a16="http://schemas.microsoft.com/office/drawing/2014/main" id="{31600075-B5FF-4317-A507-2E1D05923E84}"/>
            </a:ext>
          </a:extLst>
        </xdr:cNvPr>
        <xdr:cNvSpPr txBox="1"/>
      </xdr:nvSpPr>
      <xdr:spPr>
        <a:xfrm>
          <a:off x="3196711" y="886212"/>
          <a:ext cx="492958" cy="3657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1ED77CC-580F-404B-ADF9-FA5F4F89E545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92%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220579</xdr:colOff>
      <xdr:row>12</xdr:row>
      <xdr:rowOff>85223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A9CB69-3C9E-79FB-1C51-F655408C5EA4}"/>
            </a:ext>
          </a:extLst>
        </xdr:cNvPr>
        <xdr:cNvSpPr txBox="1"/>
      </xdr:nvSpPr>
      <xdr:spPr>
        <a:xfrm>
          <a:off x="1383632" y="31883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 kern="1200"/>
        </a:p>
      </xdr:txBody>
    </xdr:sp>
    <xdr:clientData/>
  </xdr:oneCellAnchor>
  <xdr:oneCellAnchor>
    <xdr:from>
      <xdr:col>0</xdr:col>
      <xdr:colOff>182410</xdr:colOff>
      <xdr:row>16</xdr:row>
      <xdr:rowOff>202378</xdr:rowOff>
    </xdr:from>
    <xdr:ext cx="408796" cy="467657"/>
    <xdr:sp macro="" textlink="data!B37">
      <xdr:nvSpPr>
        <xdr:cNvPr id="13" name="TextBox 12">
          <a:extLst>
            <a:ext uri="{FF2B5EF4-FFF2-40B4-BE49-F238E27FC236}">
              <a16:creationId xmlns:a16="http://schemas.microsoft.com/office/drawing/2014/main" id="{7306CE2D-B584-4C56-AFD3-7C047C95F3D1}"/>
            </a:ext>
          </a:extLst>
        </xdr:cNvPr>
        <xdr:cNvSpPr txBox="1"/>
      </xdr:nvSpPr>
      <xdr:spPr>
        <a:xfrm>
          <a:off x="182410" y="4347395"/>
          <a:ext cx="408796" cy="467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14844330-418A-4F46-82D4-3957F13D606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41%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426981</xdr:colOff>
      <xdr:row>16</xdr:row>
      <xdr:rowOff>124811</xdr:rowOff>
    </xdr:from>
    <xdr:ext cx="1378618" cy="537372"/>
    <xdr:sp macro="" textlink="data!A38">
      <xdr:nvSpPr>
        <xdr:cNvPr id="14" name="TextBox 13">
          <a:extLst>
            <a:ext uri="{FF2B5EF4-FFF2-40B4-BE49-F238E27FC236}">
              <a16:creationId xmlns:a16="http://schemas.microsoft.com/office/drawing/2014/main" id="{A39BFCC7-5C1B-4957-B5D1-5A9B4D2BD8C7}"/>
            </a:ext>
          </a:extLst>
        </xdr:cNvPr>
        <xdr:cNvSpPr txBox="1"/>
      </xdr:nvSpPr>
      <xdr:spPr>
        <a:xfrm>
          <a:off x="2772102" y="4269828"/>
          <a:ext cx="1378618" cy="5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2EE2FF8-9C01-4F8B-9693-8035F27CC5AF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mean number of grams of salt consumed per day</a:t>
          </a:fld>
          <a:endParaRPr lang="en-US" sz="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6</xdr:col>
      <xdr:colOff>556914</xdr:colOff>
      <xdr:row>14</xdr:row>
      <xdr:rowOff>236603</xdr:rowOff>
    </xdr:from>
    <xdr:to>
      <xdr:col>7</xdr:col>
      <xdr:colOff>439987</xdr:colOff>
      <xdr:row>16</xdr:row>
      <xdr:rowOff>187400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E90798-FBBD-880A-3BD3-988104863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50020" flipH="1">
          <a:off x="3516100" y="3864321"/>
          <a:ext cx="449028" cy="476554"/>
        </a:xfrm>
        <a:prstGeom prst="rect">
          <a:avLst/>
        </a:prstGeom>
      </xdr:spPr>
    </xdr:pic>
    <xdr:clientData/>
  </xdr:twoCellAnchor>
  <xdr:oneCellAnchor>
    <xdr:from>
      <xdr:col>5</xdr:col>
      <xdr:colOff>559878</xdr:colOff>
      <xdr:row>14</xdr:row>
      <xdr:rowOff>243304</xdr:rowOff>
    </xdr:from>
    <xdr:ext cx="527038" cy="467657"/>
    <xdr:sp macro="" textlink="data!B38">
      <xdr:nvSpPr>
        <xdr:cNvPr id="17" name="TextBox 16">
          <a:extLst>
            <a:ext uri="{FF2B5EF4-FFF2-40B4-BE49-F238E27FC236}">
              <a16:creationId xmlns:a16="http://schemas.microsoft.com/office/drawing/2014/main" id="{A9F0E376-9460-41F5-A9C3-6F975D05DDA5}"/>
            </a:ext>
          </a:extLst>
        </xdr:cNvPr>
        <xdr:cNvSpPr txBox="1"/>
      </xdr:nvSpPr>
      <xdr:spPr>
        <a:xfrm>
          <a:off x="2911820" y="3884785"/>
          <a:ext cx="527038" cy="467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4349A6-97FD-4D2F-A143-8495FEE9DCB7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4.5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209449</xdr:colOff>
      <xdr:row>15</xdr:row>
      <xdr:rowOff>32844</xdr:rowOff>
    </xdr:from>
    <xdr:to>
      <xdr:col>5</xdr:col>
      <xdr:colOff>200526</xdr:colOff>
      <xdr:row>16</xdr:row>
      <xdr:rowOff>236341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BC615CE-8A92-3355-6C30-3DA3C148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49" y="3882949"/>
          <a:ext cx="2337235" cy="449143"/>
        </a:xfrm>
        <a:prstGeom prst="rect">
          <a:avLst/>
        </a:prstGeom>
      </xdr:spPr>
    </xdr:pic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228840</xdr:colOff>
      <xdr:row>6</xdr:row>
      <xdr:rowOff>173404</xdr:rowOff>
    </xdr:from>
    <xdr:to>
      <xdr:col>8</xdr:col>
      <xdr:colOff>580180</xdr:colOff>
      <xdr:row>19</xdr:row>
      <xdr:rowOff>107227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rot="5400000" flipH="1" flipV="1">
          <a:off x="2991031" y="1470328"/>
          <a:ext cx="2432304" cy="2505456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124558</xdr:colOff>
      <xdr:row>9</xdr:row>
      <xdr:rowOff>95251</xdr:rowOff>
    </xdr:from>
    <xdr:to>
      <xdr:col>6</xdr:col>
      <xdr:colOff>480157</xdr:colOff>
      <xdr:row>14</xdr:row>
      <xdr:rowOff>80598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E0C28A5-7F27-4181-8C58-236E328FE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112004</xdr:colOff>
      <xdr:row>6</xdr:row>
      <xdr:rowOff>173405</xdr:rowOff>
    </xdr:from>
    <xdr:to>
      <xdr:col>4</xdr:col>
      <xdr:colOff>608137</xdr:colOff>
      <xdr:row>19</xdr:row>
      <xdr:rowOff>109903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4AC4FF-CCE8-5818-92B5-6266D35F5736}"/>
            </a:ext>
          </a:extLst>
        </xdr:cNvPr>
        <xdr:cNvSpPr/>
      </xdr:nvSpPr>
      <xdr:spPr>
        <a:xfrm rot="5400000" flipH="1" flipV="1">
          <a:off x="146369" y="1472540"/>
          <a:ext cx="2434979" cy="2503710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43966</xdr:rowOff>
    </xdr:from>
    <xdr:to>
      <xdr:col>2</xdr:col>
      <xdr:colOff>502138</xdr:colOff>
      <xdr:row>14</xdr:row>
      <xdr:rowOff>29313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100EEAF-80BB-46A0-A8EA-149D338E2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80599</xdr:colOff>
      <xdr:row>20</xdr:row>
      <xdr:rowOff>14652</xdr:rowOff>
    </xdr:from>
    <xdr:to>
      <xdr:col>8</xdr:col>
      <xdr:colOff>661295</xdr:colOff>
      <xdr:row>29</xdr:row>
      <xdr:rowOff>73268</xdr:rowOff>
    </xdr:to>
    <xdr:sp macro="" textlink="">
      <xdr:nvSpPr>
        <xdr:cNvPr id="44" name="Rectangle: Rounded Corners 4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rot="5400000" flipH="1" flipV="1">
          <a:off x="1920591" y="2197141"/>
          <a:ext cx="1780443" cy="5460427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224972</xdr:colOff>
      <xdr:row>3</xdr:row>
      <xdr:rowOff>0</xdr:rowOff>
    </xdr:from>
    <xdr:to>
      <xdr:col>4</xdr:col>
      <xdr:colOff>446942</xdr:colOff>
      <xdr:row>6</xdr:row>
      <xdr:rowOff>34324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3417</xdr:colOff>
      <xdr:row>14</xdr:row>
      <xdr:rowOff>21986</xdr:rowOff>
    </xdr:from>
    <xdr:to>
      <xdr:col>2</xdr:col>
      <xdr:colOff>505555</xdr:colOff>
      <xdr:row>19</xdr:row>
      <xdr:rowOff>7333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195882</xdr:colOff>
      <xdr:row>20</xdr:row>
      <xdr:rowOff>58614</xdr:rowOff>
    </xdr:from>
    <xdr:to>
      <xdr:col>3</xdr:col>
      <xdr:colOff>556847</xdr:colOff>
      <xdr:row>25</xdr:row>
      <xdr:rowOff>14654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398773</xdr:colOff>
      <xdr:row>14</xdr:row>
      <xdr:rowOff>73270</xdr:rowOff>
    </xdr:from>
    <xdr:to>
      <xdr:col>6</xdr:col>
      <xdr:colOff>417613</xdr:colOff>
      <xdr:row>19</xdr:row>
      <xdr:rowOff>105020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600111</xdr:colOff>
      <xdr:row>20</xdr:row>
      <xdr:rowOff>0</xdr:rowOff>
    </xdr:from>
    <xdr:to>
      <xdr:col>5</xdr:col>
      <xdr:colOff>674080</xdr:colOff>
      <xdr:row>25</xdr:row>
      <xdr:rowOff>52684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23650</xdr:colOff>
      <xdr:row>20</xdr:row>
      <xdr:rowOff>73269</xdr:rowOff>
    </xdr:from>
    <xdr:to>
      <xdr:col>8</xdr:col>
      <xdr:colOff>139208</xdr:colOff>
      <xdr:row>24</xdr:row>
      <xdr:rowOff>181358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</xdr:col>
      <xdr:colOff>212129</xdr:colOff>
      <xdr:row>2</xdr:row>
      <xdr:rowOff>81293</xdr:rowOff>
    </xdr:from>
    <xdr:ext cx="2630717" cy="929821"/>
    <xdr:sp macro="" textlink="data!A41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2937744" y="652793"/>
          <a:ext cx="2630717" cy="92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7F01CBE-7F23-434A-A372-B97581DB2AB8}" type="TxLink">
            <a:rPr lang="en-US" sz="11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not meeting WHO's recommendation for physical activity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396352</xdr:colOff>
      <xdr:row>3</xdr:row>
      <xdr:rowOff>83038</xdr:rowOff>
    </xdr:from>
    <xdr:ext cx="471714" cy="473861"/>
    <xdr:sp macro="" textlink="data!B41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2403929" y="84503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2AD1AD-4504-3D4B-84C5-0D54A1330D25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15%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476250</xdr:colOff>
      <xdr:row>16</xdr:row>
      <xdr:rowOff>51292</xdr:rowOff>
    </xdr:from>
    <xdr:ext cx="1370135" cy="473861"/>
    <xdr:sp macro="" textlink="data!A46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047750" y="3311773"/>
          <a:ext cx="137013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5E48A1A-B0DC-FE47-B0EE-D42E5CBC5D70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engaging in any vigorous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195016</xdr:colOff>
      <xdr:row>16</xdr:row>
      <xdr:rowOff>87929</xdr:rowOff>
    </xdr:from>
    <xdr:ext cx="537661" cy="307085"/>
    <xdr:sp macro="" textlink="data!B46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422151" y="3348410"/>
          <a:ext cx="537661" cy="307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9800DE-51F7-9244-B3A7-C04AE71E4E47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23%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175145</xdr:colOff>
      <xdr:row>24</xdr:row>
      <xdr:rowOff>168520</xdr:rowOff>
    </xdr:from>
    <xdr:ext cx="1011816" cy="703384"/>
    <xdr:sp macro="" textlink="data!A48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746645" y="4960328"/>
          <a:ext cx="1011816" cy="70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BFA0220-18E3-4343-8C74-CCDE25E60739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work-related activity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533820</xdr:colOff>
      <xdr:row>21</xdr:row>
      <xdr:rowOff>73270</xdr:rowOff>
    </xdr:from>
    <xdr:ext cx="471714" cy="473861"/>
    <xdr:sp macro="" textlink="data!B48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1105320" y="4286251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C3AB15-F312-8947-95D5-AEA2B55AE2F8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27%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168518</xdr:colOff>
      <xdr:row>11</xdr:row>
      <xdr:rowOff>36633</xdr:rowOff>
    </xdr:from>
    <xdr:ext cx="446943" cy="429207"/>
    <xdr:sp macro="" textlink="data!B44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395653" y="2337287"/>
          <a:ext cx="446943" cy="4292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50196B1-9EAF-8247-931F-5BE48385A21F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13%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516026</xdr:colOff>
      <xdr:row>11</xdr:row>
      <xdr:rowOff>71175</xdr:rowOff>
    </xdr:from>
    <xdr:ext cx="471714" cy="473861"/>
    <xdr:sp macro="" textlink="data!B45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3241641" y="2371829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F8B530B-3D72-EF42-A0C4-2C0BB071E22A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18%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493695</xdr:colOff>
      <xdr:row>10</xdr:row>
      <xdr:rowOff>181783</xdr:rowOff>
    </xdr:from>
    <xdr:ext cx="1460500" cy="589642"/>
    <xdr:sp macro="" textlink="data!A44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1065195" y="2284610"/>
          <a:ext cx="1460500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F65174C-05A3-C14E-ABAA-D54DA7C80221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meeting WHO's recommendation for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474502</xdr:colOff>
      <xdr:row>10</xdr:row>
      <xdr:rowOff>180381</xdr:rowOff>
    </xdr:from>
    <xdr:ext cx="1401189" cy="662214"/>
    <xdr:sp macro="" textlink="data!A45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3918156" y="2283208"/>
          <a:ext cx="1401189" cy="662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C5B0853-4A01-C541-AF9A-421BEF349AE1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meeting WHO's recommendation for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424963</xdr:colOff>
      <xdr:row>16</xdr:row>
      <xdr:rowOff>34194</xdr:rowOff>
    </xdr:from>
    <xdr:ext cx="1384788" cy="464038"/>
    <xdr:sp macro="" textlink="data!A47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3868617" y="3294675"/>
          <a:ext cx="1384788" cy="4640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408761-4A0F-6640-8967-8571B11A40FA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engaging in any vigorous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232017</xdr:colOff>
      <xdr:row>24</xdr:row>
      <xdr:rowOff>154213</xdr:rowOff>
    </xdr:from>
    <xdr:ext cx="1379905" cy="959478"/>
    <xdr:sp macro="" textlink="data!A49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2239594" y="4946021"/>
          <a:ext cx="1379905" cy="9594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27026C25-6DF1-4910-B619-B638A366249E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transport-related activity e.g. walking or cycling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3488</xdr:colOff>
      <xdr:row>24</xdr:row>
      <xdr:rowOff>88621</xdr:rowOff>
    </xdr:from>
    <xdr:ext cx="809801" cy="907840"/>
    <xdr:sp macro="" textlink="data!A50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4165180" y="4880429"/>
          <a:ext cx="809801" cy="907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07B3405-31FD-E044-B018-523EF5966741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activity in their leisure time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674772</xdr:colOff>
      <xdr:row>33</xdr:row>
      <xdr:rowOff>92810</xdr:rowOff>
    </xdr:from>
    <xdr:ext cx="1603901" cy="595922"/>
    <xdr:sp macro="" textlink="data!C52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1964310" y="6599118"/>
          <a:ext cx="1603901" cy="5959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2F20A26-5AC8-4AB4-95A9-5565A3578ADD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3.9 hours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560683</xdr:colOff>
      <xdr:row>31</xdr:row>
      <xdr:rowOff>36634</xdr:rowOff>
    </xdr:from>
    <xdr:ext cx="1803166" cy="440018"/>
    <xdr:sp macro="" textlink="data!A51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1850221" y="6161942"/>
          <a:ext cx="1803166" cy="4400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7767C80-E14B-6346-9B38-267C59F6B886}" type="TxLink">
            <a:rPr lang="en-US" sz="11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Average time spent in sedentary activity per day</a:t>
          </a:fld>
          <a:endParaRPr lang="en-US" sz="11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484518</xdr:colOff>
      <xdr:row>16</xdr:row>
      <xdr:rowOff>19191</xdr:rowOff>
    </xdr:from>
    <xdr:ext cx="555905" cy="437884"/>
    <xdr:sp macro="" textlink="data!B47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3210133" y="3279672"/>
          <a:ext cx="555905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6ACADFE-016A-2C42-8BFC-AFCAC839CEB2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57%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28954</xdr:colOff>
      <xdr:row>21</xdr:row>
      <xdr:rowOff>146538</xdr:rowOff>
    </xdr:from>
    <xdr:ext cx="816746" cy="401251"/>
    <xdr:sp macro="" textlink="data!B50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4190646" y="4359519"/>
          <a:ext cx="816746" cy="401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86F9810-C36B-634F-991F-9D6ABD807826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583365</xdr:colOff>
      <xdr:row>21</xdr:row>
      <xdr:rowOff>122465</xdr:rowOff>
    </xdr:from>
    <xdr:ext cx="816746" cy="437884"/>
    <xdr:sp macro="" textlink="data!B49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2590942" y="433544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2EB4A0A-D47C-CC48-9F7A-27278CF02FB2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74%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73269</xdr:colOff>
      <xdr:row>3</xdr:row>
      <xdr:rowOff>98999</xdr:rowOff>
    </xdr:from>
    <xdr:to>
      <xdr:col>4</xdr:col>
      <xdr:colOff>183173</xdr:colOff>
      <xdr:row>5</xdr:row>
      <xdr:rowOff>168518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404" y="860999"/>
          <a:ext cx="1890346" cy="450519"/>
        </a:xfrm>
        <a:prstGeom prst="rect">
          <a:avLst/>
        </a:prstGeom>
      </xdr:spPr>
    </xdr:pic>
    <xdr:clientData/>
  </xdr:twoCellAnchor>
  <xdr:twoCellAnchor editAs="oneCell">
    <xdr:from>
      <xdr:col>8</xdr:col>
      <xdr:colOff>43961</xdr:colOff>
      <xdr:row>21</xdr:row>
      <xdr:rowOff>65941</xdr:rowOff>
    </xdr:from>
    <xdr:to>
      <xdr:col>8</xdr:col>
      <xdr:colOff>596523</xdr:colOff>
      <xdr:row>24</xdr:row>
      <xdr:rowOff>85723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E8258-C9D4-CFCE-2D99-26FB318D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692" y="4278922"/>
          <a:ext cx="552562" cy="598609"/>
        </a:xfrm>
        <a:prstGeom prst="rect">
          <a:avLst/>
        </a:prstGeom>
      </xdr:spPr>
    </xdr:pic>
    <xdr:clientData/>
  </xdr:twoCellAnchor>
  <xdr:twoCellAnchor editAs="oneCell">
    <xdr:from>
      <xdr:col>1</xdr:col>
      <xdr:colOff>102577</xdr:colOff>
      <xdr:row>21</xdr:row>
      <xdr:rowOff>80597</xdr:rowOff>
    </xdr:from>
    <xdr:to>
      <xdr:col>2</xdr:col>
      <xdr:colOff>323625</xdr:colOff>
      <xdr:row>24</xdr:row>
      <xdr:rowOff>58616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728D78-AD75-F08A-D07A-3A83104E9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12" y="4293578"/>
          <a:ext cx="565413" cy="556846"/>
        </a:xfrm>
        <a:prstGeom prst="rect">
          <a:avLst/>
        </a:prstGeom>
      </xdr:spPr>
    </xdr:pic>
    <xdr:clientData/>
  </xdr:twoCellAnchor>
  <xdr:twoCellAnchor editAs="oneCell">
    <xdr:from>
      <xdr:col>4</xdr:col>
      <xdr:colOff>77138</xdr:colOff>
      <xdr:row>21</xdr:row>
      <xdr:rowOff>139211</xdr:rowOff>
    </xdr:from>
    <xdr:to>
      <xdr:col>4</xdr:col>
      <xdr:colOff>595232</xdr:colOff>
      <xdr:row>23</xdr:row>
      <xdr:rowOff>184637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9E0519-6BAA-5B51-DD00-84B41E35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715" y="4352192"/>
          <a:ext cx="518094" cy="433753"/>
        </a:xfrm>
        <a:prstGeom prst="rect">
          <a:avLst/>
        </a:prstGeom>
      </xdr:spPr>
    </xdr:pic>
    <xdr:clientData/>
  </xdr:twoCellAnchor>
  <xdr:twoCellAnchor editAs="oneCell">
    <xdr:from>
      <xdr:col>5</xdr:col>
      <xdr:colOff>608135</xdr:colOff>
      <xdr:row>21</xdr:row>
      <xdr:rowOff>87923</xdr:rowOff>
    </xdr:from>
    <xdr:to>
      <xdr:col>6</xdr:col>
      <xdr:colOff>334108</xdr:colOff>
      <xdr:row>24</xdr:row>
      <xdr:rowOff>30041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30195-C01C-BF41-98B3-4DC2B697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0" y="4300904"/>
          <a:ext cx="444012" cy="520945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468923</xdr:colOff>
      <xdr:row>30</xdr:row>
      <xdr:rowOff>95250</xdr:rowOff>
    </xdr:from>
    <xdr:to>
      <xdr:col>3</xdr:col>
      <xdr:colOff>557894</xdr:colOff>
      <xdr:row>36</xdr:row>
      <xdr:rowOff>82062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BCF374-C726-6EA5-E139-931E5FB7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23" y="6030058"/>
          <a:ext cx="807009" cy="1129812"/>
        </a:xfrm>
        <a:prstGeom prst="rect">
          <a:avLst/>
        </a:prstGeom>
      </xdr:spPr>
    </xdr:pic>
    <xdr:clientData/>
  </xdr:twoCellAnchor>
  <xdr:oneCellAnchor>
    <xdr:from>
      <xdr:col>6</xdr:col>
      <xdr:colOff>8652</xdr:colOff>
      <xdr:row>7</xdr:row>
      <xdr:rowOff>4467</xdr:rowOff>
    </xdr:from>
    <xdr:ext cx="1757135" cy="589642"/>
    <xdr:sp macro="" textlink="data!A42">
      <xdr:nvSpPr>
        <xdr:cNvPr id="19" name="TextBox 18">
          <a:extLst>
            <a:ext uri="{FF2B5EF4-FFF2-40B4-BE49-F238E27FC236}">
              <a16:creationId xmlns:a16="http://schemas.microsoft.com/office/drawing/2014/main" id="{B0F24B8B-61AE-45E3-972B-624F2D2AD152}"/>
            </a:ext>
          </a:extLst>
        </xdr:cNvPr>
        <xdr:cNvSpPr txBox="1"/>
      </xdr:nvSpPr>
      <xdr:spPr>
        <a:xfrm>
          <a:off x="3452306" y="1535794"/>
          <a:ext cx="1757135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87AE869-DAB8-4687-8D57-59C270C6D70A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women …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199152</xdr:colOff>
      <xdr:row>7</xdr:row>
      <xdr:rowOff>41101</xdr:rowOff>
    </xdr:from>
    <xdr:ext cx="1757135" cy="589642"/>
    <xdr:sp macro="" textlink="data!A43">
      <xdr:nvSpPr>
        <xdr:cNvPr id="20" name="TextBox 19">
          <a:extLst>
            <a:ext uri="{FF2B5EF4-FFF2-40B4-BE49-F238E27FC236}">
              <a16:creationId xmlns:a16="http://schemas.microsoft.com/office/drawing/2014/main" id="{E6578AEE-A72E-06A7-B172-9C459AD8D2B4}"/>
            </a:ext>
          </a:extLst>
        </xdr:cNvPr>
        <xdr:cNvSpPr txBox="1"/>
      </xdr:nvSpPr>
      <xdr:spPr>
        <a:xfrm>
          <a:off x="770652" y="1572428"/>
          <a:ext cx="1757135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FE5603C-EE3A-47F1-BA16-2D984086F676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men …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527541</xdr:colOff>
      <xdr:row>7</xdr:row>
      <xdr:rowOff>36635</xdr:rowOff>
    </xdr:from>
    <xdr:to>
      <xdr:col>6</xdr:col>
      <xdr:colOff>112076</xdr:colOff>
      <xdr:row>10</xdr:row>
      <xdr:rowOff>77664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2842D6C-890F-483F-9C76-CDB8F79EA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3253156" y="1567962"/>
          <a:ext cx="302574" cy="612529"/>
        </a:xfrm>
        <a:prstGeom prst="rect">
          <a:avLst/>
        </a:prstGeom>
      </xdr:spPr>
    </xdr:pic>
    <xdr:clientData/>
  </xdr:twoCellAnchor>
  <xdr:twoCellAnchor editAs="oneCell">
    <xdr:from>
      <xdr:col>1</xdr:col>
      <xdr:colOff>266382</xdr:colOff>
      <xdr:row>7</xdr:row>
      <xdr:rowOff>14654</xdr:rowOff>
    </xdr:from>
    <xdr:to>
      <xdr:col>2</xdr:col>
      <xdr:colOff>212759</xdr:colOff>
      <xdr:row>10</xdr:row>
      <xdr:rowOff>49822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D5F64E3-6686-9BFD-49F6-930A5ECE4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493517" y="1545981"/>
          <a:ext cx="290742" cy="606668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240196</xdr:colOff>
      <xdr:row>24</xdr:row>
      <xdr:rowOff>57978</xdr:rowOff>
    </xdr:from>
    <xdr:to>
      <xdr:col>2</xdr:col>
      <xdr:colOff>264770</xdr:colOff>
      <xdr:row>29</xdr:row>
      <xdr:rowOff>97055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798F20-70ED-12F7-B056-95851E722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207061</xdr:colOff>
      <xdr:row>8</xdr:row>
      <xdr:rowOff>107675</xdr:rowOff>
    </xdr:from>
    <xdr:to>
      <xdr:col>5</xdr:col>
      <xdr:colOff>231635</xdr:colOff>
      <xdr:row>13</xdr:row>
      <xdr:rowOff>146752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99E43A-36D4-F50D-BD5F-54C6AA18C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173182</xdr:rowOff>
    </xdr:from>
    <xdr:to>
      <xdr:col>4</xdr:col>
      <xdr:colOff>264583</xdr:colOff>
      <xdr:row>22</xdr:row>
      <xdr:rowOff>5773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701390</xdr:colOff>
      <xdr:row>21</xdr:row>
      <xdr:rowOff>140509</xdr:rowOff>
    </xdr:from>
    <xdr:ext cx="2106413" cy="473861"/>
    <xdr:sp macro="" textlink="data!A59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01390" y="5474509"/>
          <a:ext cx="210641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6F0B2B0-076C-493E-9D6B-79D5F7156A9C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obese**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137586</xdr:colOff>
      <xdr:row>21</xdr:row>
      <xdr:rowOff>140378</xdr:rowOff>
    </xdr:from>
    <xdr:ext cx="471714" cy="473861"/>
    <xdr:sp macro="" textlink="data!B59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586" y="547437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60C938B5-21E7-41AB-A08A-F1D140469909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31%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0</xdr:colOff>
      <xdr:row>2</xdr:row>
      <xdr:rowOff>60613</xdr:rowOff>
    </xdr:from>
    <xdr:to>
      <xdr:col>4</xdr:col>
      <xdr:colOff>264583</xdr:colOff>
      <xdr:row>6</xdr:row>
      <xdr:rowOff>71197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675242</xdr:colOff>
      <xdr:row>6</xdr:row>
      <xdr:rowOff>3012</xdr:rowOff>
    </xdr:from>
    <xdr:ext cx="2595255" cy="473861"/>
    <xdr:sp macro="" textlink="data!A56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675242" y="1336512"/>
          <a:ext cx="259525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2F698B1-CC8C-4965-98CE-15FB0AD1E0C5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overweight*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118253</xdr:colOff>
      <xdr:row>6</xdr:row>
      <xdr:rowOff>98261</xdr:rowOff>
    </xdr:from>
    <xdr:ext cx="471714" cy="266455"/>
    <xdr:sp macro="" textlink="data!B56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18253" y="1431761"/>
          <a:ext cx="471714" cy="266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D33ACEE-6F0E-4D3A-A9E5-12D425616CBA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70%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450942</xdr:colOff>
      <xdr:row>10</xdr:row>
      <xdr:rowOff>50157</xdr:rowOff>
    </xdr:from>
    <xdr:ext cx="609232" cy="473861"/>
    <xdr:sp macro="" textlink="data!B57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1163246" y="2145657"/>
          <a:ext cx="60923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8CC1C9-A5A6-194A-AAAE-63F5FE584D83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66%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324399</xdr:colOff>
      <xdr:row>10</xdr:row>
      <xdr:rowOff>82826</xdr:rowOff>
    </xdr:from>
    <xdr:ext cx="471714" cy="418647"/>
    <xdr:sp macro="" textlink="data!B58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3173616" y="2178326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C5BAB0-1728-254E-8C79-1A91EB05671F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75%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111354</xdr:colOff>
      <xdr:row>13</xdr:row>
      <xdr:rowOff>74543</xdr:rowOff>
    </xdr:from>
    <xdr:ext cx="1031645" cy="662609"/>
    <xdr:sp macro="" textlink="data!A57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823658" y="2741543"/>
          <a:ext cx="1031645" cy="662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8FE5452B-ABE5-E24E-A3E2-F6353F5555D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are overweight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583463</xdr:colOff>
      <xdr:row>13</xdr:row>
      <xdr:rowOff>75464</xdr:rowOff>
    </xdr:from>
    <xdr:ext cx="1271840" cy="744515"/>
    <xdr:sp macro="" textlink="data!A58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2720376" y="2742464"/>
          <a:ext cx="1271840" cy="744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8F6D18FA-4E4E-D042-A8FA-BBDF460455E6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are overweight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398487</xdr:colOff>
      <xdr:row>25</xdr:row>
      <xdr:rowOff>173474</xdr:rowOff>
    </xdr:from>
    <xdr:ext cx="471714" cy="473861"/>
    <xdr:sp macro="" textlink="data!B60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10791" y="5126474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267AE09-5D47-CA47-A78E-D0652BB28FEC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23%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147707</xdr:colOff>
      <xdr:row>29</xdr:row>
      <xdr:rowOff>34509</xdr:rowOff>
    </xdr:from>
    <xdr:ext cx="899583" cy="473861"/>
    <xdr:sp macro="" textlink="data!A60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860011" y="5749509"/>
          <a:ext cx="89958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BCE9460F-C23B-9346-A73A-01F241EA416C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are obese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260902</xdr:colOff>
      <xdr:row>25</xdr:row>
      <xdr:rowOff>116419</xdr:rowOff>
    </xdr:from>
    <xdr:ext cx="471714" cy="473861"/>
    <xdr:sp macro="" textlink="data!B61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3110119" y="5069419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52F98E8-D0BD-1647-B481-2F757D712F61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39%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619352</xdr:colOff>
      <xdr:row>28</xdr:row>
      <xdr:rowOff>182219</xdr:rowOff>
    </xdr:from>
    <xdr:ext cx="1079502" cy="436126"/>
    <xdr:sp macro="" textlink="data!A61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2756265" y="5706719"/>
          <a:ext cx="1079502" cy="436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0D844DD-2AC2-334B-B541-E99DF2BA87FE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are obese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107169</xdr:colOff>
      <xdr:row>18</xdr:row>
      <xdr:rowOff>116329</xdr:rowOff>
    </xdr:from>
    <xdr:to>
      <xdr:col>3</xdr:col>
      <xdr:colOff>622016</xdr:colOff>
      <xdr:row>21</xdr:row>
      <xdr:rowOff>102613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169" y="4878829"/>
          <a:ext cx="2651760" cy="557784"/>
        </a:xfrm>
        <a:prstGeom prst="rect">
          <a:avLst/>
        </a:prstGeom>
      </xdr:spPr>
    </xdr:pic>
    <xdr:clientData/>
  </xdr:twoCellAnchor>
  <xdr:twoCellAnchor editAs="oneCell">
    <xdr:from>
      <xdr:col>0</xdr:col>
      <xdr:colOff>95628</xdr:colOff>
      <xdr:row>3</xdr:row>
      <xdr:rowOff>5776</xdr:rowOff>
    </xdr:from>
    <xdr:to>
      <xdr:col>3</xdr:col>
      <xdr:colOff>609562</xdr:colOff>
      <xdr:row>5</xdr:row>
      <xdr:rowOff>162750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28" y="767776"/>
          <a:ext cx="2650847" cy="537974"/>
        </a:xfrm>
        <a:prstGeom prst="rect">
          <a:avLst/>
        </a:prstGeom>
      </xdr:spPr>
    </xdr:pic>
    <xdr:clientData/>
  </xdr:twoCellAnchor>
  <xdr:twoCellAnchor editAs="oneCell">
    <xdr:from>
      <xdr:col>5</xdr:col>
      <xdr:colOff>558896</xdr:colOff>
      <xdr:row>0</xdr:row>
      <xdr:rowOff>107674</xdr:rowOff>
    </xdr:from>
    <xdr:to>
      <xdr:col>7</xdr:col>
      <xdr:colOff>117307</xdr:colOff>
      <xdr:row>11</xdr:row>
      <xdr:rowOff>159595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BA821F-8DF7-544A-D18E-AC4854C0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0418" y="107674"/>
          <a:ext cx="983019" cy="2337921"/>
        </a:xfrm>
        <a:prstGeom prst="rect">
          <a:avLst/>
        </a:prstGeom>
      </xdr:spPr>
    </xdr:pic>
    <xdr:clientData/>
  </xdr:twoCellAnchor>
  <xdr:twoCellAnchor>
    <xdr:from>
      <xdr:col>1</xdr:col>
      <xdr:colOff>306457</xdr:colOff>
      <xdr:row>8</xdr:row>
      <xdr:rowOff>107674</xdr:rowOff>
    </xdr:from>
    <xdr:to>
      <xdr:col>2</xdr:col>
      <xdr:colOff>331031</xdr:colOff>
      <xdr:row>13</xdr:row>
      <xdr:rowOff>146751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748C2D-DCED-4954-885F-D6E85B3A6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107674</xdr:colOff>
      <xdr:row>23</xdr:row>
      <xdr:rowOff>173935</xdr:rowOff>
    </xdr:from>
    <xdr:to>
      <xdr:col>5</xdr:col>
      <xdr:colOff>132248</xdr:colOff>
      <xdr:row>29</xdr:row>
      <xdr:rowOff>22512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609FCE4-66C0-4BAD-52CF-BAED0F78A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588065</xdr:colOff>
      <xdr:row>25</xdr:row>
      <xdr:rowOff>131140</xdr:rowOff>
    </xdr:from>
    <xdr:to>
      <xdr:col>1</xdr:col>
      <xdr:colOff>164432</xdr:colOff>
      <xdr:row>28</xdr:row>
      <xdr:rowOff>166308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2A7E8C-1703-4E7C-BE04-E7711DE12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588065" y="5084140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434147</xdr:colOff>
      <xdr:row>25</xdr:row>
      <xdr:rowOff>91109</xdr:rowOff>
    </xdr:from>
    <xdr:to>
      <xdr:col>4</xdr:col>
      <xdr:colOff>24417</xdr:colOff>
      <xdr:row>28</xdr:row>
      <xdr:rowOff>132138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83CD65-0585-445A-AE32-E487B56E6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2571060" y="5044109"/>
          <a:ext cx="302574" cy="612529"/>
        </a:xfrm>
        <a:prstGeom prst="rect">
          <a:avLst/>
        </a:prstGeom>
      </xdr:spPr>
    </xdr:pic>
    <xdr:clientData/>
  </xdr:twoCellAnchor>
  <xdr:twoCellAnchor editAs="oneCell">
    <xdr:from>
      <xdr:col>0</xdr:col>
      <xdr:colOff>646043</xdr:colOff>
      <xdr:row>9</xdr:row>
      <xdr:rowOff>155988</xdr:rowOff>
    </xdr:from>
    <xdr:to>
      <xdr:col>1</xdr:col>
      <xdr:colOff>222410</xdr:colOff>
      <xdr:row>13</xdr:row>
      <xdr:rowOff>656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47961C-E4F1-44F3-AA5A-17825667E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646043" y="2060988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492125</xdr:colOff>
      <xdr:row>9</xdr:row>
      <xdr:rowOff>115957</xdr:rowOff>
    </xdr:from>
    <xdr:to>
      <xdr:col>4</xdr:col>
      <xdr:colOff>82395</xdr:colOff>
      <xdr:row>12</xdr:row>
      <xdr:rowOff>156986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85213-FFB8-4692-8079-B41D9713B9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2629038" y="2020957"/>
          <a:ext cx="302574" cy="612529"/>
        </a:xfrm>
        <a:prstGeom prst="rect">
          <a:avLst/>
        </a:prstGeom>
      </xdr:spPr>
    </xdr:pic>
    <xdr:clientData/>
  </xdr:twoCellAnchor>
  <xdr:oneCellAnchor>
    <xdr:from>
      <xdr:col>0</xdr:col>
      <xdr:colOff>41413</xdr:colOff>
      <xdr:row>32</xdr:row>
      <xdr:rowOff>173935</xdr:rowOff>
    </xdr:from>
    <xdr:ext cx="753716" cy="190500"/>
    <xdr:sp macro="" textlink="data!A62">
      <xdr:nvSpPr>
        <xdr:cNvPr id="17" name="TextBox 16">
          <a:extLst>
            <a:ext uri="{FF2B5EF4-FFF2-40B4-BE49-F238E27FC236}">
              <a16:creationId xmlns:a16="http://schemas.microsoft.com/office/drawing/2014/main" id="{33B84B1B-4C54-4A96-8134-95B8488E9670}"/>
            </a:ext>
          </a:extLst>
        </xdr:cNvPr>
        <xdr:cNvSpPr txBox="1"/>
      </xdr:nvSpPr>
      <xdr:spPr>
        <a:xfrm>
          <a:off x="41413" y="6460435"/>
          <a:ext cx="753716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02E619DE-D6C9-48C6-A614-38A58A8596F1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* BMI ≥ 25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323022</xdr:colOff>
      <xdr:row>32</xdr:row>
      <xdr:rowOff>165652</xdr:rowOff>
    </xdr:from>
    <xdr:ext cx="753716" cy="190500"/>
    <xdr:sp macro="" textlink="data!A63">
      <xdr:nvSpPr>
        <xdr:cNvPr id="18" name="TextBox 17">
          <a:extLst>
            <a:ext uri="{FF2B5EF4-FFF2-40B4-BE49-F238E27FC236}">
              <a16:creationId xmlns:a16="http://schemas.microsoft.com/office/drawing/2014/main" id="{57714BF8-487C-4F75-9A9D-35EC87CE9415}"/>
            </a:ext>
          </a:extLst>
        </xdr:cNvPr>
        <xdr:cNvSpPr txBox="1"/>
      </xdr:nvSpPr>
      <xdr:spPr>
        <a:xfrm>
          <a:off x="1035326" y="6452152"/>
          <a:ext cx="753716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1C8396E4-B34C-418A-A079-F7AEC8FF54E4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** BMI ≥ 30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5</xdr:col>
      <xdr:colOff>76200</xdr:colOff>
      <xdr:row>6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183173</xdr:colOff>
      <xdr:row>10</xdr:row>
      <xdr:rowOff>34190</xdr:rowOff>
    </xdr:from>
    <xdr:ext cx="849923" cy="473861"/>
    <xdr:sp macro="" textlink="data!A67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183173" y="2129690"/>
          <a:ext cx="84992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F379499D-9684-3C47-A23A-164BDD5D5B21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Of those …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648025</xdr:colOff>
      <xdr:row>10</xdr:row>
      <xdr:rowOff>167701</xdr:rowOff>
    </xdr:from>
    <xdr:ext cx="2341359" cy="975299"/>
    <xdr:sp macro="" textlink="data!A68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2084102" y="2263201"/>
          <a:ext cx="2341359" cy="975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1C94A3D-80B4-4315-99C0-AE15154DE778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have been previously diagnosed with raised blood pressure (aware)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5</xdr:col>
      <xdr:colOff>248613</xdr:colOff>
      <xdr:row>21</xdr:row>
      <xdr:rowOff>10968</xdr:rowOff>
    </xdr:from>
    <xdr:to>
      <xdr:col>7</xdr:col>
      <xdr:colOff>219516</xdr:colOff>
      <xdr:row>26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122930</xdr:colOff>
      <xdr:row>5</xdr:row>
      <xdr:rowOff>111532</xdr:rowOff>
    </xdr:from>
    <xdr:ext cx="560916" cy="465667"/>
    <xdr:sp macro="" textlink="data!B66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122930" y="1635532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7A225458-43E7-8744-B1F8-607E14318DA9}" type="TxLink">
            <a:rPr lang="en-US" sz="1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36%</a:t>
          </a:fld>
          <a:endParaRPr lang="en-US" sz="1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52101</xdr:colOff>
      <xdr:row>6</xdr:row>
      <xdr:rowOff>43147</xdr:rowOff>
    </xdr:from>
    <xdr:ext cx="4270783" cy="704198"/>
    <xdr:sp macro="" textlink="data!A66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770139" y="1376647"/>
          <a:ext cx="4270783" cy="704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A1F066C8-EA66-BC49-913A-3273D900EF62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blood pressure* or are currently on medication for raised blood pressure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508004</xdr:colOff>
      <xdr:row>8</xdr:row>
      <xdr:rowOff>0</xdr:rowOff>
    </xdr:from>
    <xdr:ext cx="560916" cy="423336"/>
    <xdr:sp macro="" textlink="data!B67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333504" y="2095498"/>
          <a:ext cx="560916" cy="423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4CF4BD-8713-3648-9693-B1846E6C43BB}" type="TxLink">
            <a:rPr lang="en-US" sz="1400" b="0" i="0" u="none" strike="noStrike">
              <a:solidFill>
                <a:srgbClr val="561E1F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</a:t>
          </a:fld>
          <a:endParaRPr lang="en-US" sz="1400" b="1" i="0" u="none" strike="noStrike">
            <a:solidFill>
              <a:srgbClr val="561E1F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151199</xdr:colOff>
      <xdr:row>1</xdr:row>
      <xdr:rowOff>148682</xdr:rowOff>
    </xdr:from>
    <xdr:to>
      <xdr:col>4</xdr:col>
      <xdr:colOff>377640</xdr:colOff>
      <xdr:row>5</xdr:row>
      <xdr:rowOff>121667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199" y="529682"/>
          <a:ext cx="3098595" cy="734985"/>
        </a:xfrm>
        <a:prstGeom prst="rect">
          <a:avLst/>
        </a:prstGeom>
      </xdr:spPr>
    </xdr:pic>
    <xdr:clientData/>
  </xdr:twoCellAnchor>
  <xdr:twoCellAnchor>
    <xdr:from>
      <xdr:col>1</xdr:col>
      <xdr:colOff>468923</xdr:colOff>
      <xdr:row>10</xdr:row>
      <xdr:rowOff>87923</xdr:rowOff>
    </xdr:from>
    <xdr:to>
      <xdr:col>2</xdr:col>
      <xdr:colOff>487763</xdr:colOff>
      <xdr:row>15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007214-AC5D-4CC2-B555-5A62AE627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578828</xdr:colOff>
      <xdr:row>12</xdr:row>
      <xdr:rowOff>36635</xdr:rowOff>
    </xdr:from>
    <xdr:ext cx="471714" cy="418647"/>
    <xdr:sp macro="" textlink="data!B68">
      <xdr:nvSpPr>
        <xdr:cNvPr id="10" name="TextBox 9">
          <a:extLst>
            <a:ext uri="{FF2B5EF4-FFF2-40B4-BE49-F238E27FC236}">
              <a16:creationId xmlns:a16="http://schemas.microsoft.com/office/drawing/2014/main" id="{88F770B5-E4CE-442D-9BA7-7D54D8FAAFFB}"/>
            </a:ext>
          </a:extLst>
        </xdr:cNvPr>
        <xdr:cNvSpPr txBox="1"/>
      </xdr:nvSpPr>
      <xdr:spPr>
        <a:xfrm>
          <a:off x="1296866" y="2513135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A43C89B-CBC7-4AD9-ADE1-4229608D355A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61%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1</xdr:col>
      <xdr:colOff>468923</xdr:colOff>
      <xdr:row>15</xdr:row>
      <xdr:rowOff>109904</xdr:rowOff>
    </xdr:from>
    <xdr:to>
      <xdr:col>2</xdr:col>
      <xdr:colOff>487763</xdr:colOff>
      <xdr:row>20</xdr:row>
      <xdr:rowOff>148981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49F0D0E-FDC5-4F15-8111-85C763A0F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454270</xdr:colOff>
      <xdr:row>20</xdr:row>
      <xdr:rowOff>65940</xdr:rowOff>
    </xdr:from>
    <xdr:to>
      <xdr:col>2</xdr:col>
      <xdr:colOff>473110</xdr:colOff>
      <xdr:row>25</xdr:row>
      <xdr:rowOff>105017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5DC5A5-EBA8-4BE3-9A6F-0544CA2B6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564174</xdr:colOff>
      <xdr:row>22</xdr:row>
      <xdr:rowOff>29306</xdr:rowOff>
    </xdr:from>
    <xdr:ext cx="471714" cy="418647"/>
    <xdr:sp macro="" textlink="data!B70">
      <xdr:nvSpPr>
        <xdr:cNvPr id="16" name="TextBox 15">
          <a:extLst>
            <a:ext uri="{FF2B5EF4-FFF2-40B4-BE49-F238E27FC236}">
              <a16:creationId xmlns:a16="http://schemas.microsoft.com/office/drawing/2014/main" id="{25996570-40AA-4046-8BFF-A17B84E09A10}"/>
            </a:ext>
          </a:extLst>
        </xdr:cNvPr>
        <xdr:cNvSpPr txBox="1"/>
      </xdr:nvSpPr>
      <xdr:spPr>
        <a:xfrm>
          <a:off x="1282212" y="4410806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081009C-4C67-4575-97F2-C2661F6DE2DE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18%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630115</xdr:colOff>
      <xdr:row>15</xdr:row>
      <xdr:rowOff>175846</xdr:rowOff>
    </xdr:from>
    <xdr:ext cx="2341359" cy="975299"/>
    <xdr:sp macro="" textlink="data!A69">
      <xdr:nvSpPr>
        <xdr:cNvPr id="17" name="TextBox 16">
          <a:extLst>
            <a:ext uri="{FF2B5EF4-FFF2-40B4-BE49-F238E27FC236}">
              <a16:creationId xmlns:a16="http://schemas.microsoft.com/office/drawing/2014/main" id="{7E71FF16-2D98-4465-AC61-5EEAAD939A5A}"/>
            </a:ext>
          </a:extLst>
        </xdr:cNvPr>
        <xdr:cNvSpPr txBox="1"/>
      </xdr:nvSpPr>
      <xdr:spPr>
        <a:xfrm>
          <a:off x="2066192" y="3033346"/>
          <a:ext cx="2341359" cy="975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CC75A98-7286-43AE-B661-5EAED69CCB12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taking medication for their raised blood pressure (treated)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615461</xdr:colOff>
      <xdr:row>21</xdr:row>
      <xdr:rowOff>0</xdr:rowOff>
    </xdr:from>
    <xdr:ext cx="2341359" cy="850741"/>
    <xdr:sp macro="" textlink="data!A70">
      <xdr:nvSpPr>
        <xdr:cNvPr id="18" name="TextBox 17">
          <a:extLst>
            <a:ext uri="{FF2B5EF4-FFF2-40B4-BE49-F238E27FC236}">
              <a16:creationId xmlns:a16="http://schemas.microsoft.com/office/drawing/2014/main" id="{8325B299-908F-4B4C-A3A7-150BE70B8855}"/>
            </a:ext>
          </a:extLst>
        </xdr:cNvPr>
        <xdr:cNvSpPr txBox="1"/>
      </xdr:nvSpPr>
      <xdr:spPr>
        <a:xfrm>
          <a:off x="2051538" y="4191000"/>
          <a:ext cx="2341359" cy="850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8B12FC9-3048-4254-842D-ED4494796F08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have their blood pressure under control (controlled)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219808</xdr:colOff>
      <xdr:row>0</xdr:row>
      <xdr:rowOff>169543</xdr:rowOff>
    </xdr:from>
    <xdr:to>
      <xdr:col>7</xdr:col>
      <xdr:colOff>183173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0BAEE-874E-6CD6-2DBA-49C1512D5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69543"/>
          <a:ext cx="1069731" cy="973457"/>
        </a:xfrm>
        <a:prstGeom prst="rect">
          <a:avLst/>
        </a:prstGeom>
      </xdr:spPr>
    </xdr:pic>
    <xdr:clientData/>
  </xdr:twoCellAnchor>
  <xdr:oneCellAnchor>
    <xdr:from>
      <xdr:col>0</xdr:col>
      <xdr:colOff>102577</xdr:colOff>
      <xdr:row>25</xdr:row>
      <xdr:rowOff>161192</xdr:rowOff>
    </xdr:from>
    <xdr:ext cx="2124808" cy="190500"/>
    <xdr:sp macro="" textlink="data!A71">
      <xdr:nvSpPr>
        <xdr:cNvPr id="3" name="TextBox 2">
          <a:extLst>
            <a:ext uri="{FF2B5EF4-FFF2-40B4-BE49-F238E27FC236}">
              <a16:creationId xmlns:a16="http://schemas.microsoft.com/office/drawing/2014/main" id="{AF42EBC8-DFEF-42BD-8450-F2E1209D1D9C}"/>
            </a:ext>
          </a:extLst>
        </xdr:cNvPr>
        <xdr:cNvSpPr txBox="1"/>
      </xdr:nvSpPr>
      <xdr:spPr>
        <a:xfrm>
          <a:off x="102577" y="5114192"/>
          <a:ext cx="2124808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5421FBA4-F4E0-4FE7-B340-372C5F3BBFD7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SBP ≥ 140 and/or DBP ≥ 90 mmHg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0.14848</cdr:x>
      <cdr:y>0.33941</cdr:y>
    </cdr:from>
    <cdr:to>
      <cdr:x>0.78863</cdr:x>
      <cdr:y>0.76161</cdr:y>
    </cdr:to>
    <cdr:sp macro="" textlink="data!$B$69">
      <cdr:nvSpPr>
        <cdr:cNvPr id="20" name="TextBox 9">
          <a:extLst xmlns:a="http://schemas.openxmlformats.org/drawingml/2006/main">
            <a:ext uri="{FF2B5EF4-FFF2-40B4-BE49-F238E27FC236}">
              <a16:creationId xmlns:a16="http://schemas.microsoft.com/office/drawing/2014/main" id="{88F770B5-E4CE-442D-9BA7-7D54D8FAAFFB}"/>
            </a:ext>
          </a:extLst>
        </cdr:cNvPr>
        <cdr:cNvSpPr txBox="1"/>
      </cdr:nvSpPr>
      <cdr:spPr>
        <a:xfrm xmlns:a="http://schemas.openxmlformats.org/drawingml/2006/main">
          <a:off x="109414" y="336550"/>
          <a:ext cx="471714" cy="4186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EAB3D51-1E55-46EF-94C6-837940EC22BD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450273</xdr:colOff>
      <xdr:row>16</xdr:row>
      <xdr:rowOff>155864</xdr:rowOff>
    </xdr:from>
    <xdr:to>
      <xdr:col>6</xdr:col>
      <xdr:colOff>684068</xdr:colOff>
      <xdr:row>25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BE2696-FCED-4994-CBD1-FDA17BEB1A69}"/>
            </a:ext>
          </a:extLst>
        </xdr:cNvPr>
        <xdr:cNvSpPr/>
      </xdr:nvSpPr>
      <xdr:spPr>
        <a:xfrm>
          <a:off x="450273" y="3203864"/>
          <a:ext cx="4546022" cy="1653886"/>
        </a:xfrm>
        <a:prstGeom prst="roundRect">
          <a:avLst/>
        </a:prstGeom>
        <a:noFill/>
        <a:ln w="317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 editAs="oneCell">
    <xdr:from>
      <xdr:col>1</xdr:col>
      <xdr:colOff>486070</xdr:colOff>
      <xdr:row>17</xdr:row>
      <xdr:rowOff>25977</xdr:rowOff>
    </xdr:from>
    <xdr:to>
      <xdr:col>2</xdr:col>
      <xdr:colOff>403905</xdr:colOff>
      <xdr:row>25</xdr:row>
      <xdr:rowOff>13207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775" y="3264477"/>
          <a:ext cx="636539" cy="1511230"/>
        </a:xfrm>
        <a:prstGeom prst="rect">
          <a:avLst/>
        </a:prstGeom>
      </xdr:spPr>
    </xdr:pic>
    <xdr:clientData/>
  </xdr:twoCellAnchor>
  <xdr:oneCellAnchor>
    <xdr:from>
      <xdr:col>0</xdr:col>
      <xdr:colOff>126991</xdr:colOff>
      <xdr:row>8</xdr:row>
      <xdr:rowOff>72737</xdr:rowOff>
    </xdr:from>
    <xdr:ext cx="522441" cy="465667"/>
    <xdr:sp macro="" textlink="data!B74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26991" y="1596737"/>
          <a:ext cx="522441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15EC2552-B77C-41E4-BAF5-33675328CB93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33%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41558</xdr:colOff>
      <xdr:row>9</xdr:row>
      <xdr:rowOff>10969</xdr:rowOff>
    </xdr:from>
    <xdr:ext cx="3456714" cy="777008"/>
    <xdr:sp macro="" textlink="data!A74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760263" y="1725469"/>
          <a:ext cx="3456714" cy="77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71FD9B81-1BD2-4782-9249-CEE8AEF16726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blood sugar* or are currently on medication for diabetes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502235</xdr:colOff>
      <xdr:row>17</xdr:row>
      <xdr:rowOff>61190</xdr:rowOff>
    </xdr:from>
    <xdr:ext cx="2736268" cy="1410855"/>
    <xdr:sp macro="" textlink="data!A76">
      <xdr:nvSpPr>
        <xdr:cNvPr id="26" name="TextBox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1939644" y="3299690"/>
          <a:ext cx="2736268" cy="1410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3255D5E-7599-459F-BF22-B2C0B8BE44ED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never had their blood sugar measured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635006</xdr:colOff>
      <xdr:row>19</xdr:row>
      <xdr:rowOff>110837</xdr:rowOff>
    </xdr:from>
    <xdr:ext cx="560916" cy="465667"/>
    <xdr:sp macro="" textlink="data!B76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1353711" y="3730337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BD30383-FB42-45EB-9CB9-E409131B7EF9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15%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115454</xdr:colOff>
      <xdr:row>2</xdr:row>
      <xdr:rowOff>54841</xdr:rowOff>
    </xdr:from>
    <xdr:to>
      <xdr:col>6</xdr:col>
      <xdr:colOff>26554</xdr:colOff>
      <xdr:row>8</xdr:row>
      <xdr:rowOff>92942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FC2E6-379A-6942-85CA-2B7B97969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242454</xdr:colOff>
      <xdr:row>3</xdr:row>
      <xdr:rowOff>57726</xdr:rowOff>
    </xdr:from>
    <xdr:to>
      <xdr:col>5</xdr:col>
      <xdr:colOff>242455</xdr:colOff>
      <xdr:row>7</xdr:row>
      <xdr:rowOff>132773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454" y="629226"/>
          <a:ext cx="3593524" cy="837047"/>
        </a:xfrm>
        <a:prstGeom prst="rect">
          <a:avLst/>
        </a:prstGeom>
      </xdr:spPr>
    </xdr:pic>
    <xdr:clientData/>
  </xdr:twoCellAnchor>
  <xdr:oneCellAnchor>
    <xdr:from>
      <xdr:col>1</xdr:col>
      <xdr:colOff>34633</xdr:colOff>
      <xdr:row>12</xdr:row>
      <xdr:rowOff>155864</xdr:rowOff>
    </xdr:from>
    <xdr:ext cx="849923" cy="473861"/>
    <xdr:sp macro="" textlink="data!A67">
      <xdr:nvSpPr>
        <xdr:cNvPr id="5" name="TextBox 4">
          <a:extLst>
            <a:ext uri="{FF2B5EF4-FFF2-40B4-BE49-F238E27FC236}">
              <a16:creationId xmlns:a16="http://schemas.microsoft.com/office/drawing/2014/main" id="{68CDFE76-1180-4C29-940E-DEA1A04B658C}"/>
            </a:ext>
          </a:extLst>
        </xdr:cNvPr>
        <xdr:cNvSpPr txBox="1"/>
      </xdr:nvSpPr>
      <xdr:spPr>
        <a:xfrm>
          <a:off x="753338" y="2441864"/>
          <a:ext cx="84992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F379499D-9684-3C47-A23A-164BDD5D5B21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Of those …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360273</xdr:colOff>
      <xdr:row>12</xdr:row>
      <xdr:rowOff>121227</xdr:rowOff>
    </xdr:from>
    <xdr:ext cx="2341359" cy="648100"/>
    <xdr:sp macro="" textlink="data!A75">
      <xdr:nvSpPr>
        <xdr:cNvPr id="7" name="TextBox 6">
          <a:extLst>
            <a:ext uri="{FF2B5EF4-FFF2-40B4-BE49-F238E27FC236}">
              <a16:creationId xmlns:a16="http://schemas.microsoft.com/office/drawing/2014/main" id="{C4438CE0-3B0C-4A5A-A3FF-2D9D875F4FBF}"/>
            </a:ext>
          </a:extLst>
        </xdr:cNvPr>
        <xdr:cNvSpPr txBox="1"/>
      </xdr:nvSpPr>
      <xdr:spPr>
        <a:xfrm>
          <a:off x="2516387" y="2407227"/>
          <a:ext cx="2341359" cy="648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B42A4A-F96C-4265-8D9D-E1EC3DCF3EA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currently receiving treatment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2</xdr:col>
      <xdr:colOff>294405</xdr:colOff>
      <xdr:row>11</xdr:row>
      <xdr:rowOff>86591</xdr:rowOff>
    </xdr:from>
    <xdr:to>
      <xdr:col>3</xdr:col>
      <xdr:colOff>312579</xdr:colOff>
      <xdr:row>16</xdr:row>
      <xdr:rowOff>125668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CDC0CB-9830-4838-906D-2FCD8FB13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404310</xdr:colOff>
      <xdr:row>13</xdr:row>
      <xdr:rowOff>35303</xdr:rowOff>
    </xdr:from>
    <xdr:ext cx="471714" cy="418647"/>
    <xdr:sp macro="" textlink="data!B75">
      <xdr:nvSpPr>
        <xdr:cNvPr id="11" name="TextBox 10">
          <a:extLst>
            <a:ext uri="{FF2B5EF4-FFF2-40B4-BE49-F238E27FC236}">
              <a16:creationId xmlns:a16="http://schemas.microsoft.com/office/drawing/2014/main" id="{885E894E-A049-466B-AE62-738ACD60B76E}"/>
            </a:ext>
          </a:extLst>
        </xdr:cNvPr>
        <xdr:cNvSpPr txBox="1"/>
      </xdr:nvSpPr>
      <xdr:spPr>
        <a:xfrm>
          <a:off x="1841719" y="2511803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8B482E0-3D5A-4AE6-A6B2-CADE28FB9B47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49%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103910</xdr:colOff>
      <xdr:row>26</xdr:row>
      <xdr:rowOff>173182</xdr:rowOff>
    </xdr:from>
    <xdr:ext cx="1039090" cy="164524"/>
    <xdr:sp macro="" textlink="data!A77">
      <xdr:nvSpPr>
        <xdr:cNvPr id="12" name="TextBox 11">
          <a:extLst>
            <a:ext uri="{FF2B5EF4-FFF2-40B4-BE49-F238E27FC236}">
              <a16:creationId xmlns:a16="http://schemas.microsoft.com/office/drawing/2014/main" id="{5330B94C-4246-45D8-A559-B68884B5E756}"/>
            </a:ext>
          </a:extLst>
        </xdr:cNvPr>
        <xdr:cNvSpPr txBox="1"/>
      </xdr:nvSpPr>
      <xdr:spPr>
        <a:xfrm>
          <a:off x="103910" y="5204114"/>
          <a:ext cx="1039090" cy="164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B8757B8D-2A5E-4645-A16C-42A4576F2C14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≥ 126 mg/dl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182217</xdr:rowOff>
    </xdr:from>
    <xdr:to>
      <xdr:col>2</xdr:col>
      <xdr:colOff>588064</xdr:colOff>
      <xdr:row>13</xdr:row>
      <xdr:rowOff>138054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15296F-FF93-478D-B7CB-CF6E8A8DA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713236</xdr:colOff>
      <xdr:row>5</xdr:row>
      <xdr:rowOff>95250</xdr:rowOff>
    </xdr:from>
    <xdr:ext cx="3231701" cy="473861"/>
    <xdr:sp macro="" textlink="data!A80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13236" y="1238250"/>
          <a:ext cx="3231701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750F92-ADD8-0449-ADCA-445EA9AA83D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total cholesterol*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15875</xdr:colOff>
      <xdr:row>5</xdr:row>
      <xdr:rowOff>111125</xdr:rowOff>
    </xdr:from>
    <xdr:ext cx="611188" cy="412023"/>
    <xdr:sp macro="" textlink="data!B80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5875" y="1254125"/>
          <a:ext cx="611188" cy="412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82ED953C-16EA-2E4E-8966-2A4498485867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31%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409575</xdr:colOff>
      <xdr:row>10</xdr:row>
      <xdr:rowOff>74612</xdr:rowOff>
    </xdr:from>
    <xdr:ext cx="560916" cy="465667"/>
    <xdr:sp macro="" textlink="data!B81">
      <xdr:nvSpPr>
        <xdr:cNvPr id="38" name="TextBox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1123950" y="2170112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F42D125-E7B9-44B4-A9DA-D591B4187A7F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51%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138549</xdr:colOff>
      <xdr:row>1</xdr:row>
      <xdr:rowOff>127002</xdr:rowOff>
    </xdr:from>
    <xdr:to>
      <xdr:col>4</xdr:col>
      <xdr:colOff>380041</xdr:colOff>
      <xdr:row>5</xdr:row>
      <xdr:rowOff>114496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230186</xdr:colOff>
      <xdr:row>2</xdr:row>
      <xdr:rowOff>68314</xdr:rowOff>
    </xdr:from>
    <xdr:to>
      <xdr:col>4</xdr:col>
      <xdr:colOff>7937</xdr:colOff>
      <xdr:row>5</xdr:row>
      <xdr:rowOff>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186" y="639814"/>
          <a:ext cx="2626968" cy="528780"/>
        </a:xfrm>
        <a:prstGeom prst="rect">
          <a:avLst/>
        </a:prstGeom>
      </xdr:spPr>
    </xdr:pic>
    <xdr:clientData/>
  </xdr:twoCellAnchor>
  <xdr:oneCellAnchor>
    <xdr:from>
      <xdr:col>5</xdr:col>
      <xdr:colOff>166687</xdr:colOff>
      <xdr:row>10</xdr:row>
      <xdr:rowOff>31750</xdr:rowOff>
    </xdr:from>
    <xdr:ext cx="560916" cy="465667"/>
    <xdr:sp macro="" textlink="data!B82">
      <xdr:nvSpPr>
        <xdr:cNvPr id="2" name="TextBox 1">
          <a:extLst>
            <a:ext uri="{FF2B5EF4-FFF2-40B4-BE49-F238E27FC236}">
              <a16:creationId xmlns:a16="http://schemas.microsoft.com/office/drawing/2014/main" id="{443B72F7-7C3C-4DBF-8519-E3408E6782D2}"/>
            </a:ext>
          </a:extLst>
        </xdr:cNvPr>
        <xdr:cNvSpPr txBox="1"/>
      </xdr:nvSpPr>
      <xdr:spPr>
        <a:xfrm>
          <a:off x="3738562" y="212725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F36672-DA5D-4FB3-A0F5-F586477C0C16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66%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667440</xdr:colOff>
      <xdr:row>10</xdr:row>
      <xdr:rowOff>15184</xdr:rowOff>
    </xdr:from>
    <xdr:to>
      <xdr:col>1</xdr:col>
      <xdr:colOff>243807</xdr:colOff>
      <xdr:row>13</xdr:row>
      <xdr:rowOff>50352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CE13EB-C008-4585-A976-6C9639F65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667440" y="2110684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4</xdr:col>
      <xdr:colOff>356153</xdr:colOff>
      <xdr:row>9</xdr:row>
      <xdr:rowOff>157370</xdr:rowOff>
    </xdr:from>
    <xdr:to>
      <xdr:col>4</xdr:col>
      <xdr:colOff>658727</xdr:colOff>
      <xdr:row>13</xdr:row>
      <xdr:rowOff>7899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FB5B4A-5AF1-4B64-9FD8-9CDC56ED2E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3205370" y="2062370"/>
          <a:ext cx="302574" cy="612529"/>
        </a:xfrm>
        <a:prstGeom prst="rect">
          <a:avLst/>
        </a:prstGeom>
      </xdr:spPr>
    </xdr:pic>
    <xdr:clientData/>
  </xdr:twoCellAnchor>
  <xdr:twoCellAnchor>
    <xdr:from>
      <xdr:col>4</xdr:col>
      <xdr:colOff>472110</xdr:colOff>
      <xdr:row>8</xdr:row>
      <xdr:rowOff>140804</xdr:rowOff>
    </xdr:from>
    <xdr:to>
      <xdr:col>6</xdr:col>
      <xdr:colOff>347870</xdr:colOff>
      <xdr:row>13</xdr:row>
      <xdr:rowOff>96641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B76B724-70F1-DD2E-2296-D849309AB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277572</xdr:colOff>
      <xdr:row>9</xdr:row>
      <xdr:rowOff>131693</xdr:rowOff>
    </xdr:from>
    <xdr:ext cx="1205016" cy="795959"/>
    <xdr:sp macro="" textlink="data!A81">
      <xdr:nvSpPr>
        <xdr:cNvPr id="20" name="TextBox 19">
          <a:extLst>
            <a:ext uri="{FF2B5EF4-FFF2-40B4-BE49-F238E27FC236}">
              <a16:creationId xmlns:a16="http://schemas.microsoft.com/office/drawing/2014/main" id="{017B00CF-4145-4BFD-A6FD-ADC75EACEB2F}"/>
            </a:ext>
          </a:extLst>
        </xdr:cNvPr>
        <xdr:cNvSpPr txBox="1"/>
      </xdr:nvSpPr>
      <xdr:spPr>
        <a:xfrm>
          <a:off x="1702181" y="2036693"/>
          <a:ext cx="1205016" cy="795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2582A93-FEAB-4FCA-809F-021CD1103DC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men have low HDL (good cholesterol)**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50628</xdr:colOff>
      <xdr:row>9</xdr:row>
      <xdr:rowOff>53836</xdr:rowOff>
    </xdr:from>
    <xdr:ext cx="1205016" cy="795959"/>
    <xdr:sp macro="" textlink="data!A82">
      <xdr:nvSpPr>
        <xdr:cNvPr id="21" name="TextBox 20">
          <a:extLst>
            <a:ext uri="{FF2B5EF4-FFF2-40B4-BE49-F238E27FC236}">
              <a16:creationId xmlns:a16="http://schemas.microsoft.com/office/drawing/2014/main" id="{CDF0D78A-2F5F-4EF1-875B-69809B3D698F}"/>
            </a:ext>
          </a:extLst>
        </xdr:cNvPr>
        <xdr:cNvSpPr txBox="1"/>
      </xdr:nvSpPr>
      <xdr:spPr>
        <a:xfrm>
          <a:off x="4324454" y="1958836"/>
          <a:ext cx="1205016" cy="795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8AB4FAA-AE7A-4D2C-B8C3-B2BAF6C9600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women have low HDL (good cholesterol)***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74543</xdr:colOff>
      <xdr:row>14</xdr:row>
      <xdr:rowOff>182217</xdr:rowOff>
    </xdr:from>
    <xdr:ext cx="902805" cy="171081"/>
    <xdr:sp macro="" textlink="data!A83">
      <xdr:nvSpPr>
        <xdr:cNvPr id="4" name="TextBox 3">
          <a:extLst>
            <a:ext uri="{FF2B5EF4-FFF2-40B4-BE49-F238E27FC236}">
              <a16:creationId xmlns:a16="http://schemas.microsoft.com/office/drawing/2014/main" id="{93DE3E55-454E-4144-B12B-3843BB065AF9}"/>
            </a:ext>
          </a:extLst>
        </xdr:cNvPr>
        <xdr:cNvSpPr txBox="1"/>
      </xdr:nvSpPr>
      <xdr:spPr>
        <a:xfrm>
          <a:off x="74543" y="3039717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D78EAD85-AE91-49F1-861B-C27467D8D90A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≥ 190 mg/dl 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231917</xdr:colOff>
      <xdr:row>14</xdr:row>
      <xdr:rowOff>182217</xdr:rowOff>
    </xdr:from>
    <xdr:ext cx="902805" cy="171081"/>
    <xdr:sp macro="" textlink="data!A84">
      <xdr:nvSpPr>
        <xdr:cNvPr id="5" name="TextBox 4">
          <a:extLst>
            <a:ext uri="{FF2B5EF4-FFF2-40B4-BE49-F238E27FC236}">
              <a16:creationId xmlns:a16="http://schemas.microsoft.com/office/drawing/2014/main" id="{8BC9B562-C96E-4CA0-9D1A-31409332A1C6}"/>
            </a:ext>
          </a:extLst>
        </xdr:cNvPr>
        <xdr:cNvSpPr txBox="1"/>
      </xdr:nvSpPr>
      <xdr:spPr>
        <a:xfrm>
          <a:off x="944221" y="3039717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0BCD8658-5E6B-4678-9B93-FCB71D3129FF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** &lt; 40 mg/d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400873</xdr:colOff>
      <xdr:row>14</xdr:row>
      <xdr:rowOff>185070</xdr:rowOff>
    </xdr:from>
    <xdr:ext cx="902805" cy="171081"/>
    <xdr:sp macro="" textlink="data!A85">
      <xdr:nvSpPr>
        <xdr:cNvPr id="6" name="TextBox 5">
          <a:extLst>
            <a:ext uri="{FF2B5EF4-FFF2-40B4-BE49-F238E27FC236}">
              <a16:creationId xmlns:a16="http://schemas.microsoft.com/office/drawing/2014/main" id="{B5411227-B9BB-4C79-A9DB-EED4A43505FC}"/>
            </a:ext>
          </a:extLst>
        </xdr:cNvPr>
        <xdr:cNvSpPr txBox="1"/>
      </xdr:nvSpPr>
      <xdr:spPr>
        <a:xfrm>
          <a:off x="1825482" y="3042570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0E653929-EB5A-44AD-B64D-2808D792838C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*** &lt; 50 mg/d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75045</xdr:colOff>
      <xdr:row>2</xdr:row>
      <xdr:rowOff>230908</xdr:rowOff>
    </xdr:from>
    <xdr:ext cx="773545" cy="473861"/>
    <xdr:sp macro="" textlink="data!B88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75045" y="759113"/>
          <a:ext cx="77354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EEC2F517-8527-D242-91C6-433CB35FB88B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14%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272204</xdr:colOff>
      <xdr:row>2</xdr:row>
      <xdr:rowOff>247472</xdr:rowOff>
    </xdr:from>
    <xdr:ext cx="3032238" cy="850900"/>
    <xdr:sp macro="" textlink="data!A88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990242" y="775010"/>
          <a:ext cx="3032238" cy="850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40E3F55-53A2-9A4E-9A7C-CC02EC5F83B6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aged 40-69 years have a 10-year CVD risk ≥20% or have existing CVD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275093</xdr:colOff>
      <xdr:row>7</xdr:row>
      <xdr:rowOff>241788</xdr:rowOff>
    </xdr:from>
    <xdr:ext cx="597477" cy="473861"/>
    <xdr:sp macro="" textlink="data!B90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275093" y="2014903"/>
          <a:ext cx="597477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B6C347A6-E179-E942-AE19-B4B0CF4C1397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44%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280865</xdr:colOff>
      <xdr:row>7</xdr:row>
      <xdr:rowOff>160570</xdr:rowOff>
    </xdr:from>
    <xdr:ext cx="3102840" cy="1026391"/>
    <xdr:sp macro="" textlink="data!A90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998903" y="1933685"/>
          <a:ext cx="3102840" cy="1026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77A8A8-9C4D-2D4A-80BD-B4E07A943E47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receiving drug therapy and counselling to prevent heart attacks and strokes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296188</xdr:colOff>
      <xdr:row>6</xdr:row>
      <xdr:rowOff>65943</xdr:rowOff>
    </xdr:from>
    <xdr:ext cx="868794" cy="439616"/>
    <xdr:sp macro="" textlink="data!A89">
      <xdr:nvSpPr>
        <xdr:cNvPr id="15" name="TextBox 14">
          <a:extLst>
            <a:ext uri="{FF2B5EF4-FFF2-40B4-BE49-F238E27FC236}">
              <a16:creationId xmlns:a16="http://schemas.microsoft.com/office/drawing/2014/main" id="{BCD5EB83-D02F-43AB-8D87-07A079D9DD71}"/>
            </a:ext>
          </a:extLst>
        </xdr:cNvPr>
        <xdr:cNvSpPr txBox="1"/>
      </xdr:nvSpPr>
      <xdr:spPr>
        <a:xfrm>
          <a:off x="1014226" y="1589943"/>
          <a:ext cx="868794" cy="4396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06371FA-52B5-48C6-9676-889607BD292B}" type="TxLink">
            <a:rPr lang="en-US" sz="12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which</a:t>
          </a:fld>
          <a:endParaRPr lang="en-US" sz="12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487647</xdr:colOff>
      <xdr:row>2</xdr:row>
      <xdr:rowOff>175846</xdr:rowOff>
    </xdr:from>
    <xdr:to>
      <xdr:col>7</xdr:col>
      <xdr:colOff>183173</xdr:colOff>
      <xdr:row>6</xdr:row>
      <xdr:rowOff>197827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585672-6D49-52B6-EF5A-315A55C3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7839" y="703384"/>
          <a:ext cx="1131603" cy="1018443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7</xdr:row>
      <xdr:rowOff>217580</xdr:rowOff>
    </xdr:from>
    <xdr:to>
      <xdr:col>7</xdr:col>
      <xdr:colOff>51289</xdr:colOff>
      <xdr:row>11</xdr:row>
      <xdr:rowOff>120162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6FEA83-3BB0-2D72-E2F0-AF439CF90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692" y="1990695"/>
          <a:ext cx="915866" cy="89904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441615</xdr:colOff>
      <xdr:row>4</xdr:row>
      <xdr:rowOff>117764</xdr:rowOff>
    </xdr:from>
    <xdr:ext cx="960006" cy="673100"/>
    <xdr:sp macro="" textlink="data!B94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649433" y="1381991"/>
          <a:ext cx="960006" cy="673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ABD3028B-4305-2D4B-9093-BC2599A5313A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12%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180685</xdr:colOff>
      <xdr:row>6</xdr:row>
      <xdr:rowOff>107373</xdr:rowOff>
    </xdr:from>
    <xdr:ext cx="1447224" cy="1009650"/>
    <xdr:sp macro="" textlink="data!A94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388503" y="1873828"/>
          <a:ext cx="1447224" cy="1009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139AB26-B3D2-B845-BE71-5930DB53C6CE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quit smoking or not start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553050</xdr:colOff>
      <xdr:row>5</xdr:row>
      <xdr:rowOff>64709</xdr:rowOff>
    </xdr:from>
    <xdr:ext cx="749300" cy="473861"/>
    <xdr:sp macro="" textlink="data!B95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3609333" y="1472752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82CBAB2-E27D-0945-9130-FEE11C7419D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28%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129910</xdr:colOff>
      <xdr:row>7</xdr:row>
      <xdr:rowOff>45077</xdr:rowOff>
    </xdr:from>
    <xdr:ext cx="1678709" cy="922483"/>
    <xdr:sp macro="" textlink="data!A95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3186193" y="1950077"/>
          <a:ext cx="1678709" cy="922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A3A2404C-BF5A-A241-88AF-8FE0AC97064E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lower the salt content in their food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514824</xdr:colOff>
      <xdr:row>14</xdr:row>
      <xdr:rowOff>157425</xdr:rowOff>
    </xdr:from>
    <xdr:ext cx="749300" cy="473861"/>
    <xdr:sp macro="" textlink="data!B96">
      <xdr:nvSpPr>
        <xdr:cNvPr id="12" name="TextBox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721889" y="3801773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5DA3792-ED8D-114D-95DB-48D9394604E7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36%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119064</xdr:colOff>
      <xdr:row>16</xdr:row>
      <xdr:rowOff>96810</xdr:rowOff>
    </xdr:from>
    <xdr:ext cx="1883064" cy="828964"/>
    <xdr:sp macro="" textlink="data!A96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19064" y="4238114"/>
          <a:ext cx="1883064" cy="8289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4B057B7-D0EC-E549-AC9C-077784B70FBB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eat at least five portions of fruit and vegetables a day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684896</xdr:colOff>
      <xdr:row>14</xdr:row>
      <xdr:rowOff>129409</xdr:rowOff>
    </xdr:from>
    <xdr:ext cx="749300" cy="473861"/>
    <xdr:sp macro="" textlink="data!B97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3741179" y="3773757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CCC5D31-6BA0-8B4B-A098-FFE992B99521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39%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81974</xdr:colOff>
      <xdr:row>16</xdr:row>
      <xdr:rowOff>97409</xdr:rowOff>
    </xdr:from>
    <xdr:ext cx="1944254" cy="922482"/>
    <xdr:sp macro="" textlink="data!A97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3138257" y="4238713"/>
          <a:ext cx="1944254" cy="922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E369AB24-3E7F-C34F-8A10-DC1E32EEC4B8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reduce fat in their diet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411417</xdr:colOff>
      <xdr:row>23</xdr:row>
      <xdr:rowOff>239441</xdr:rowOff>
    </xdr:from>
    <xdr:ext cx="722169" cy="562841"/>
    <xdr:sp macro="" textlink="data!B98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618482" y="6368571"/>
          <a:ext cx="722169" cy="562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583F3F87-38D8-F945-B027-ADEC898D0B72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44%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28539</xdr:colOff>
      <xdr:row>26</xdr:row>
      <xdr:rowOff>20745</xdr:rowOff>
    </xdr:from>
    <xdr:ext cx="1440872" cy="1026628"/>
    <xdr:sp macro="" textlink="data!A98">
      <xdr:nvSpPr>
        <xdr:cNvPr id="20" name="TextBox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235604" y="6895310"/>
          <a:ext cx="1440872" cy="1026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A40328B-FD7C-AE4E-8247-4882046D45F7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do more physical activity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603532</xdr:colOff>
      <xdr:row>23</xdr:row>
      <xdr:rowOff>223631</xdr:rowOff>
    </xdr:from>
    <xdr:ext cx="847053" cy="562840"/>
    <xdr:sp macro="" textlink="data!B99">
      <xdr:nvSpPr>
        <xdr:cNvPr id="25" name="TextBox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3659815" y="6352761"/>
          <a:ext cx="847053" cy="56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5A28B767-5058-0D4A-ABDA-8193AB27B35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46%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256760</xdr:colOff>
      <xdr:row>26</xdr:row>
      <xdr:rowOff>16941</xdr:rowOff>
    </xdr:from>
    <xdr:ext cx="1489363" cy="770659"/>
    <xdr:sp macro="" textlink="data!A99">
      <xdr:nvSpPr>
        <xdr:cNvPr id="26" name="TextBox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3313043" y="6891506"/>
          <a:ext cx="1489363" cy="7706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6FA90B45-8DC2-F840-8D56-E7745ACCA1C2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maintain healthy weight/lose weight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513756</xdr:colOff>
      <xdr:row>34</xdr:row>
      <xdr:rowOff>11292</xdr:rowOff>
    </xdr:from>
    <xdr:ext cx="725248" cy="545522"/>
    <xdr:sp macro="" textlink="data!B100">
      <xdr:nvSpPr>
        <xdr:cNvPr id="28" name="TextBox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2145430" y="8873683"/>
          <a:ext cx="725248" cy="5455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34FC18D0-3142-6E47-8EDA-F817EA925CFB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42%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95478</xdr:colOff>
      <xdr:row>35</xdr:row>
      <xdr:rowOff>225132</xdr:rowOff>
    </xdr:from>
    <xdr:ext cx="1478973" cy="857251"/>
    <xdr:sp macro="" textlink="data!A100">
      <xdr:nvSpPr>
        <xdr:cNvPr id="29" name="TextBox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1727152" y="9336002"/>
          <a:ext cx="1478973" cy="857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BCC4A2D-5826-7D4A-9267-021BEA2B64E0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reduce sugary drinks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519545</xdr:colOff>
      <xdr:row>2</xdr:row>
      <xdr:rowOff>173181</xdr:rowOff>
    </xdr:from>
    <xdr:to>
      <xdr:col>2</xdr:col>
      <xdr:colOff>591186</xdr:colOff>
      <xdr:row>5</xdr:row>
      <xdr:rowOff>98104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B243587-C316-4EE6-B28A-9E18FDEE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363" y="805295"/>
          <a:ext cx="790346" cy="808149"/>
        </a:xfrm>
        <a:prstGeom prst="rect">
          <a:avLst/>
        </a:prstGeom>
      </xdr:spPr>
    </xdr:pic>
    <xdr:clientData/>
  </xdr:twoCellAnchor>
  <xdr:twoCellAnchor editAs="oneCell">
    <xdr:from>
      <xdr:col>1</xdr:col>
      <xdr:colOff>397189</xdr:colOff>
      <xdr:row>20</xdr:row>
      <xdr:rowOff>199737</xdr:rowOff>
    </xdr:from>
    <xdr:to>
      <xdr:col>2</xdr:col>
      <xdr:colOff>596348</xdr:colOff>
      <xdr:row>24</xdr:row>
      <xdr:rowOff>189634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0C7405-52E9-613D-50A5-A6E0F9FD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254" y="5682824"/>
          <a:ext cx="911464" cy="983810"/>
        </a:xfrm>
        <a:prstGeom prst="rect">
          <a:avLst/>
        </a:prstGeom>
      </xdr:spPr>
    </xdr:pic>
    <xdr:clientData/>
  </xdr:twoCellAnchor>
  <xdr:twoCellAnchor editAs="oneCell">
    <xdr:from>
      <xdr:col>5</xdr:col>
      <xdr:colOff>602522</xdr:colOff>
      <xdr:row>2</xdr:row>
      <xdr:rowOff>63621</xdr:rowOff>
    </xdr:from>
    <xdr:to>
      <xdr:col>7</xdr:col>
      <xdr:colOff>95089</xdr:colOff>
      <xdr:row>5</xdr:row>
      <xdr:rowOff>54681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6C4403-0526-4CE9-9F2F-265D0785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50020" flipH="1">
          <a:off x="3717333" y="663560"/>
          <a:ext cx="874286" cy="938636"/>
        </a:xfrm>
        <a:prstGeom prst="rect">
          <a:avLst/>
        </a:prstGeom>
      </xdr:spPr>
    </xdr:pic>
    <xdr:clientData/>
  </xdr:twoCellAnchor>
  <xdr:twoCellAnchor>
    <xdr:from>
      <xdr:col>0</xdr:col>
      <xdr:colOff>57978</xdr:colOff>
      <xdr:row>39</xdr:row>
      <xdr:rowOff>173935</xdr:rowOff>
    </xdr:from>
    <xdr:to>
      <xdr:col>7</xdr:col>
      <xdr:colOff>679173</xdr:colOff>
      <xdr:row>40</xdr:row>
      <xdr:rowOff>140804</xdr:rowOff>
    </xdr:to>
    <xdr:sp macro="" textlink="data!A93">
      <xdr:nvSpPr>
        <xdr:cNvPr id="34" name="TextBox 33">
          <a:extLst>
            <a:ext uri="{FF2B5EF4-FFF2-40B4-BE49-F238E27FC236}">
              <a16:creationId xmlns:a16="http://schemas.microsoft.com/office/drawing/2014/main" id="{3E26BA8E-EF06-EE3C-CA18-A5016E4CB962}"/>
            </a:ext>
          </a:extLst>
        </xdr:cNvPr>
        <xdr:cNvSpPr txBox="1"/>
      </xdr:nvSpPr>
      <xdr:spPr>
        <a:xfrm>
          <a:off x="57978" y="10278718"/>
          <a:ext cx="5110369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D0D3C6-B513-4270-A521-0E022E5BC56F}" type="TxLink">
            <a:rPr lang="en-US" sz="900" b="0" i="1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* advice received in the past 12 months from a health worker, among the total population</a:t>
          </a:fld>
          <a:endParaRPr lang="en-GB" sz="900" i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 editAs="oneCell">
    <xdr:from>
      <xdr:col>5</xdr:col>
      <xdr:colOff>430698</xdr:colOff>
      <xdr:row>20</xdr:row>
      <xdr:rowOff>149567</xdr:rowOff>
    </xdr:from>
    <xdr:to>
      <xdr:col>7</xdr:col>
      <xdr:colOff>157371</xdr:colOff>
      <xdr:row>24</xdr:row>
      <xdr:rowOff>115956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779E5D6-552E-1BF1-F28D-7D528147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981" y="5632654"/>
          <a:ext cx="1159564" cy="96030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11</xdr:row>
      <xdr:rowOff>216309</xdr:rowOff>
    </xdr:from>
    <xdr:to>
      <xdr:col>2</xdr:col>
      <xdr:colOff>231912</xdr:colOff>
      <xdr:row>14</xdr:row>
      <xdr:rowOff>153643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AD1746D-9827-E308-9FF6-DD3847FD6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65" y="3214613"/>
          <a:ext cx="563217" cy="682768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132521</xdr:colOff>
      <xdr:row>11</xdr:row>
      <xdr:rowOff>170384</xdr:rowOff>
    </xdr:from>
    <xdr:to>
      <xdr:col>3</xdr:col>
      <xdr:colOff>182217</xdr:colOff>
      <xdr:row>14</xdr:row>
      <xdr:rowOff>208721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85D3C84-22A0-ECB7-D99F-1FC6389D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891" y="3168688"/>
          <a:ext cx="762000" cy="783771"/>
        </a:xfrm>
        <a:prstGeom prst="rect">
          <a:avLst/>
        </a:prstGeom>
      </xdr:spPr>
    </xdr:pic>
    <xdr:clientData/>
  </xdr:twoCellAnchor>
  <xdr:twoCellAnchor editAs="oneCell">
    <xdr:from>
      <xdr:col>3</xdr:col>
      <xdr:colOff>468035</xdr:colOff>
      <xdr:row>29</xdr:row>
      <xdr:rowOff>33134</xdr:rowOff>
    </xdr:from>
    <xdr:to>
      <xdr:col>4</xdr:col>
      <xdr:colOff>538366</xdr:colOff>
      <xdr:row>34</xdr:row>
      <xdr:rowOff>167255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28CDC3E-98A8-B044-C81A-6EEA453D5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99709" y="7653134"/>
          <a:ext cx="782635" cy="1376513"/>
        </a:xfrm>
        <a:prstGeom prst="rect">
          <a:avLst/>
        </a:prstGeom>
      </xdr:spPr>
    </xdr:pic>
    <xdr:clientData/>
  </xdr:twoCellAnchor>
  <xdr:twoCellAnchor editAs="oneCell">
    <xdr:from>
      <xdr:col>5</xdr:col>
      <xdr:colOff>596348</xdr:colOff>
      <xdr:row>10</xdr:row>
      <xdr:rowOff>221682</xdr:rowOff>
    </xdr:from>
    <xdr:to>
      <xdr:col>7</xdr:col>
      <xdr:colOff>74544</xdr:colOff>
      <xdr:row>14</xdr:row>
      <xdr:rowOff>165652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E55F1EC-E009-E3C9-BA9E-A3008E2D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2631" y="2971508"/>
          <a:ext cx="911087" cy="93788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34634</xdr:colOff>
      <xdr:row>15</xdr:row>
      <xdr:rowOff>34636</xdr:rowOff>
    </xdr:from>
    <xdr:to>
      <xdr:col>7</xdr:col>
      <xdr:colOff>65805</xdr:colOff>
      <xdr:row>21</xdr:row>
      <xdr:rowOff>22513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3585AB-5EF4-4334-9653-452C8C29D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188186</xdr:colOff>
      <xdr:row>2</xdr:row>
      <xdr:rowOff>25977</xdr:rowOff>
    </xdr:from>
    <xdr:to>
      <xdr:col>7</xdr:col>
      <xdr:colOff>406977</xdr:colOff>
      <xdr:row>6</xdr:row>
      <xdr:rowOff>154133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349823</xdr:colOff>
      <xdr:row>15</xdr:row>
      <xdr:rowOff>20781</xdr:rowOff>
    </xdr:from>
    <xdr:to>
      <xdr:col>4</xdr:col>
      <xdr:colOff>380995</xdr:colOff>
      <xdr:row>21</xdr:row>
      <xdr:rowOff>8658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55994</xdr:colOff>
      <xdr:row>9</xdr:row>
      <xdr:rowOff>111988</xdr:rowOff>
    </xdr:from>
    <xdr:to>
      <xdr:col>7</xdr:col>
      <xdr:colOff>372339</xdr:colOff>
      <xdr:row>15</xdr:row>
      <xdr:rowOff>25974</xdr:rowOff>
    </xdr:to>
    <xdr:sp macro="" textlink="">
      <xdr:nvSpPr>
        <xdr:cNvPr id="9" name="Rectangle: Rounded Corners 4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5400000" flipH="1" flipV="1">
          <a:off x="1664276" y="1257297"/>
          <a:ext cx="1420668" cy="3909868"/>
        </a:xfrm>
        <a:prstGeom prst="roundRect">
          <a:avLst/>
        </a:prstGeom>
        <a:solidFill>
          <a:srgbClr val="3F6A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275932</xdr:colOff>
      <xdr:row>6</xdr:row>
      <xdr:rowOff>83133</xdr:rowOff>
    </xdr:from>
    <xdr:ext cx="749300" cy="473861"/>
    <xdr:sp macro="" textlink="data!B103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275932" y="1719701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C345C324-6268-3E43-9C3F-3C4845FAA845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27%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109678</xdr:colOff>
      <xdr:row>6</xdr:row>
      <xdr:rowOff>106798</xdr:rowOff>
    </xdr:from>
    <xdr:ext cx="2886368" cy="660400"/>
    <xdr:sp macro="" textlink="data!A103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192064" y="1743366"/>
          <a:ext cx="2886368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193E584-BE3D-F440-A459-4E0FCA97E136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aged 18-69 have 3 to 5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604399</xdr:colOff>
      <xdr:row>17</xdr:row>
      <xdr:rowOff>38680</xdr:rowOff>
    </xdr:from>
    <xdr:ext cx="749300" cy="473861"/>
    <xdr:sp macro="" textlink="data!B104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968081" y="4437498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6C01F0D-5E05-694D-996F-9C3D9D84D5C9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71%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229463</xdr:colOff>
      <xdr:row>20</xdr:row>
      <xdr:rowOff>122960</xdr:rowOff>
    </xdr:from>
    <xdr:ext cx="1536122" cy="881495"/>
    <xdr:sp macro="" textlink="data!A104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593145" y="5275119"/>
          <a:ext cx="1536122" cy="8814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476CAD46-0BEB-0644-8470-B4802C5E707A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aged 18-69 have 1 to 2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415635</xdr:colOff>
      <xdr:row>17</xdr:row>
      <xdr:rowOff>77932</xdr:rowOff>
    </xdr:from>
    <xdr:ext cx="502227" cy="448464"/>
    <xdr:sp macro="" textlink="data!B105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2935430" y="4476750"/>
          <a:ext cx="502227" cy="448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C9233CC3-37C9-244A-82CB-C716DD92571A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1%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640192</xdr:colOff>
      <xdr:row>20</xdr:row>
      <xdr:rowOff>76199</xdr:rowOff>
    </xdr:from>
    <xdr:ext cx="1611169" cy="928256"/>
    <xdr:sp macro="" textlink="data!A105">
      <xdr:nvSpPr>
        <xdr:cNvPr id="16" name="TextBox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2441283" y="5228358"/>
          <a:ext cx="1611169" cy="9282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E12D68CE-4298-A14B-917F-5690FE7619E1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aged 18-69 have 0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242453</xdr:colOff>
      <xdr:row>9</xdr:row>
      <xdr:rowOff>245915</xdr:rowOff>
    </xdr:from>
    <xdr:ext cx="1261872" cy="473861"/>
    <xdr:sp macro="" textlink="data!B106">
      <xdr:nvSpPr>
        <xdr:cNvPr id="17" name="TextBox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1324839" y="2635824"/>
          <a:ext cx="126187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3757099-CC93-964A-BB68-E6249446C7DF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17%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242452</xdr:colOff>
      <xdr:row>10</xdr:row>
      <xdr:rowOff>13275</xdr:rowOff>
    </xdr:from>
    <xdr:ext cx="1261872" cy="473861"/>
    <xdr:sp macro="" textlink="data!B107">
      <xdr:nvSpPr>
        <xdr:cNvPr id="18" name="TextBox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2762247" y="2654298"/>
          <a:ext cx="126187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1CB0C92-D1D2-DD49-A9D2-649E0817DA4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38%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166828</xdr:colOff>
      <xdr:row>11</xdr:row>
      <xdr:rowOff>242452</xdr:rowOff>
    </xdr:from>
    <xdr:ext cx="1257300" cy="660400"/>
    <xdr:sp macro="" textlink="data!A106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1249214" y="3134588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D51FF1-083D-FD4C-BA29-350670D0E4BE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18-44 year olds have 3 to 5 risk factors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204932</xdr:colOff>
      <xdr:row>12</xdr:row>
      <xdr:rowOff>8657</xdr:rowOff>
    </xdr:from>
    <xdr:ext cx="1261872" cy="660400"/>
    <xdr:sp macro="" textlink="data!A107">
      <xdr:nvSpPr>
        <xdr:cNvPr id="20" name="TextBox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2724727" y="3151907"/>
          <a:ext cx="1261872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534F4B-9DE8-6449-9947-DB82302657DC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45-69 year olds have 3 to 5 risk factors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2</xdr:col>
      <xdr:colOff>116898</xdr:colOff>
      <xdr:row>10</xdr:row>
      <xdr:rowOff>89567</xdr:rowOff>
    </xdr:from>
    <xdr:to>
      <xdr:col>3</xdr:col>
      <xdr:colOff>151534</xdr:colOff>
      <xdr:row>14</xdr:row>
      <xdr:rowOff>36725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5155"/>
        <a:stretch/>
      </xdr:blipFill>
      <xdr:spPr>
        <a:xfrm>
          <a:off x="480580" y="2730590"/>
          <a:ext cx="753340" cy="951612"/>
        </a:xfrm>
        <a:prstGeom prst="rect">
          <a:avLst/>
        </a:prstGeom>
      </xdr:spPr>
    </xdr:pic>
    <xdr:clientData/>
  </xdr:twoCellAnchor>
  <xdr:twoCellAnchor editAs="oneCell">
    <xdr:from>
      <xdr:col>2</xdr:col>
      <xdr:colOff>124110</xdr:colOff>
      <xdr:row>2</xdr:row>
      <xdr:rowOff>225140</xdr:rowOff>
    </xdr:from>
    <xdr:to>
      <xdr:col>6</xdr:col>
      <xdr:colOff>658087</xdr:colOff>
      <xdr:row>6</xdr:row>
      <xdr:rowOff>8660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792" y="857254"/>
          <a:ext cx="3408795" cy="7879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R\GitHub%20current\templates\data_fromR.xlsx" TargetMode="External"/><Relationship Id="rId1" Type="http://schemas.openxmlformats.org/officeDocument/2006/relationships/externalLinkPath" Target="data_from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anguages"/>
    </sheetNames>
    <sheetDataSet>
      <sheetData sheetId="0">
        <row r="2">
          <cell r="C2" t="str">
            <v>Tobacco Use</v>
          </cell>
        </row>
        <row r="3">
          <cell r="C3" t="str">
            <v>of the population are current smokers</v>
          </cell>
          <cell r="D3">
            <v>9.5868345383227305E-2</v>
          </cell>
        </row>
        <row r="4">
          <cell r="C4" t="str">
            <v>of men</v>
          </cell>
          <cell r="D4">
            <v>0.16904970534544</v>
          </cell>
        </row>
        <row r="5">
          <cell r="C5" t="str">
            <v>of women</v>
          </cell>
          <cell r="D5">
            <v>2.8757018116263501E-2</v>
          </cell>
        </row>
        <row r="6">
          <cell r="C6" t="str">
            <v>Among current smokers</v>
          </cell>
        </row>
        <row r="7">
          <cell r="C7" t="str">
            <v>smoke daily</v>
          </cell>
          <cell r="D7">
            <v>0.292629104874292</v>
          </cell>
        </row>
        <row r="8">
          <cell r="C8" t="str">
            <v>smoke manufactured cigarettes</v>
          </cell>
          <cell r="D8">
            <v>0.86677187571240999</v>
          </cell>
        </row>
        <row r="9">
          <cell r="C9" t="str">
            <v>smoke hand-rolled cigarettes</v>
          </cell>
          <cell r="D9">
            <v>7.20366105350949E-2</v>
          </cell>
        </row>
        <row r="10">
          <cell r="C10" t="str">
            <v>smoke cigars, cheroots or cigarillos</v>
          </cell>
          <cell r="D10">
            <v>2.46664092701823E-3</v>
          </cell>
        </row>
        <row r="11">
          <cell r="C11" t="str">
            <v>smoke pipes</v>
          </cell>
          <cell r="D11">
            <v>1.36202893634498E-2</v>
          </cell>
        </row>
        <row r="12">
          <cell r="C12" t="str">
            <v>smoke shisha</v>
          </cell>
          <cell r="D12">
            <v>7.9274449407799995E-3</v>
          </cell>
        </row>
        <row r="13">
          <cell r="C13" t="str">
            <v>have tried to stop smoking during the past 12 months</v>
          </cell>
          <cell r="D13">
            <v>0.54865878663552003</v>
          </cell>
        </row>
        <row r="14">
          <cell r="C14" t="str">
            <v xml:space="preserve">have been advised by a health care professional to stop smoking </v>
          </cell>
          <cell r="D14">
            <v>0.47170403520997101</v>
          </cell>
        </row>
        <row r="15">
          <cell r="C15" t="str">
            <v>of the population are current smokeless users</v>
          </cell>
          <cell r="D15">
            <v>1.6642277782832301E-3</v>
          </cell>
        </row>
        <row r="16">
          <cell r="C16" t="str">
            <v>of the population currently use any tobacco products</v>
          </cell>
          <cell r="D16">
            <v>9.6711699166281195E-2</v>
          </cell>
        </row>
        <row r="18">
          <cell r="C18" t="str">
            <v>Alcohol Use</v>
          </cell>
        </row>
        <row r="19">
          <cell r="C19" t="str">
            <v>of the population are current drinkers</v>
          </cell>
          <cell r="D19">
            <v>0.27081665048940201</v>
          </cell>
        </row>
        <row r="20">
          <cell r="C20" t="str">
            <v>of men</v>
          </cell>
          <cell r="D20">
            <v>0.35574847314701302</v>
          </cell>
        </row>
        <row r="21">
          <cell r="C21" t="str">
            <v>of women</v>
          </cell>
          <cell r="D21">
            <v>0.19292950376874901</v>
          </cell>
        </row>
        <row r="22">
          <cell r="C22" t="str">
            <v>of 18-44 years</v>
          </cell>
          <cell r="D22">
            <v>0.31072667276911098</v>
          </cell>
        </row>
        <row r="23">
          <cell r="C23" t="str">
            <v>of 45-69 years</v>
          </cell>
          <cell r="D23">
            <v>0.224325013535698</v>
          </cell>
        </row>
        <row r="24">
          <cell r="C24" t="str">
            <v>are current drinkers</v>
          </cell>
        </row>
        <row r="25">
          <cell r="C25" t="str">
            <v>of the population are lifetime abstainers</v>
          </cell>
          <cell r="D25">
            <v>0.137924315803339</v>
          </cell>
        </row>
        <row r="26">
          <cell r="C26" t="str">
            <v>Heavy episodic drinking</v>
          </cell>
        </row>
        <row r="27">
          <cell r="C27" t="str">
            <v>of the population consumed 6 or more drinks on one occasion in the past 30 days</v>
          </cell>
          <cell r="D27">
            <v>8.1187097871824696E-2</v>
          </cell>
        </row>
        <row r="28">
          <cell r="C28" t="str">
            <v>of men consumed 6 or more drinks on one occasion</v>
          </cell>
          <cell r="D28">
            <v>0.12946420130368799</v>
          </cell>
        </row>
        <row r="29">
          <cell r="C29" t="str">
            <v>of women consumed 6 or more drinks on one occasion</v>
          </cell>
          <cell r="D29">
            <v>3.6897568473613002E-2</v>
          </cell>
        </row>
        <row r="31">
          <cell r="C31" t="str">
            <v>Diet</v>
          </cell>
        </row>
        <row r="32">
          <cell r="C32" t="str">
            <v xml:space="preserve"> days</v>
          </cell>
        </row>
        <row r="33">
          <cell r="C33" t="str">
            <v>mean number of days fruits are consumed in a typical week</v>
          </cell>
          <cell r="D33">
            <v>3.1231828612839099</v>
          </cell>
        </row>
        <row r="34">
          <cell r="C34" t="str">
            <v>mean number of days vegetables consumed in a typical week</v>
          </cell>
          <cell r="D34">
            <v>3.8263976641185198</v>
          </cell>
        </row>
        <row r="35">
          <cell r="C35" t="str">
            <v>of the population eat less than 5 servings of fruit and/or vegetables per day</v>
          </cell>
          <cell r="D35">
            <v>0.91927039010522005</v>
          </cell>
        </row>
        <row r="36">
          <cell r="C36" t="str">
            <v>of the population do not eat any fruit or vegetables</v>
          </cell>
          <cell r="D36">
            <v>0.26345796430082002</v>
          </cell>
        </row>
        <row r="37">
          <cell r="C37" t="str">
            <v>of the population always or often eat processed foods high in salt</v>
          </cell>
          <cell r="D37">
            <v>0.410590091993219</v>
          </cell>
        </row>
        <row r="38">
          <cell r="C38" t="str">
            <v>mean number of grams of salt consumed per day</v>
          </cell>
          <cell r="D38">
            <v>4.5</v>
          </cell>
        </row>
        <row r="40">
          <cell r="C40" t="str">
            <v>Physical Activity</v>
          </cell>
        </row>
        <row r="41">
          <cell r="C41" t="str">
            <v>of the population are not meeting WHO's recommendation for physical activity</v>
          </cell>
          <cell r="D41">
            <v>0.15331747397770601</v>
          </cell>
        </row>
        <row r="42">
          <cell r="C42" t="str">
            <v>Among women …</v>
          </cell>
        </row>
        <row r="43">
          <cell r="C43" t="str">
            <v>Among men …</v>
          </cell>
        </row>
        <row r="44">
          <cell r="C44" t="str">
            <v>are not meeting WHO's recommendation for physical activity</v>
          </cell>
          <cell r="D44">
            <v>0.126894667688952</v>
          </cell>
        </row>
        <row r="45">
          <cell r="C45" t="str">
            <v>are not meeting WHO's recommendation for physical activity</v>
          </cell>
          <cell r="D45">
            <v>0.17937866963428001</v>
          </cell>
        </row>
        <row r="46">
          <cell r="C46" t="str">
            <v>are not engaging in any vigorous physical activity</v>
          </cell>
          <cell r="D46">
            <v>0.230499947806418</v>
          </cell>
        </row>
        <row r="47">
          <cell r="C47" t="str">
            <v>are not engaging in any vigorous physical activity</v>
          </cell>
          <cell r="D47">
            <v>0.57438181124198595</v>
          </cell>
        </row>
        <row r="48">
          <cell r="C48" t="str">
            <v>of the population do not do any work-related activity</v>
          </cell>
          <cell r="D48">
            <v>0.26689826575900999</v>
          </cell>
        </row>
        <row r="49">
          <cell r="C49" t="str">
            <v>of the population do not do any transport-related activity e.g. walking or cycling</v>
          </cell>
          <cell r="D49">
            <v>0.73627233813542403</v>
          </cell>
        </row>
        <row r="50">
          <cell r="C50" t="str">
            <v>of the population do not do any activity in their leisure time</v>
          </cell>
          <cell r="D50">
            <v>0.431924632566349</v>
          </cell>
        </row>
        <row r="51">
          <cell r="C51" t="str">
            <v>Average time spent in sedentary activity per day</v>
          </cell>
          <cell r="D51">
            <v>234.98297636691001</v>
          </cell>
        </row>
        <row r="52">
          <cell r="C52" t="str">
            <v>minutes</v>
          </cell>
        </row>
        <row r="53">
          <cell r="C53" t="str">
            <v>hours</v>
          </cell>
        </row>
        <row r="55">
          <cell r="C55" t="str">
            <v>Body Mass Index</v>
          </cell>
        </row>
        <row r="56">
          <cell r="C56" t="str">
            <v>of the population are overweight*</v>
          </cell>
          <cell r="D56">
            <v>0.70431390646202996</v>
          </cell>
        </row>
        <row r="57">
          <cell r="C57" t="str">
            <v>of men are overweight</v>
          </cell>
          <cell r="D57">
            <v>0.65998481314155899</v>
          </cell>
        </row>
        <row r="58">
          <cell r="C58" t="str">
            <v>of women are overweight</v>
          </cell>
          <cell r="D58">
            <v>0.74541050844360002</v>
          </cell>
        </row>
        <row r="59">
          <cell r="C59" t="str">
            <v>of the population are obese**</v>
          </cell>
          <cell r="D59">
            <v>0.31361173699675299</v>
          </cell>
        </row>
        <row r="60">
          <cell r="C60" t="str">
            <v>of men are obese</v>
          </cell>
          <cell r="D60">
            <v>0.233490002268708</v>
          </cell>
        </row>
        <row r="61">
          <cell r="C61" t="str">
            <v>of women are obese</v>
          </cell>
          <cell r="D61">
            <v>0.38789096979522403</v>
          </cell>
        </row>
        <row r="62">
          <cell r="C62" t="str">
            <v>* BMI ≥ 25</v>
          </cell>
        </row>
        <row r="63">
          <cell r="C63" t="str">
            <v>** BMI ≥ 30</v>
          </cell>
        </row>
        <row r="65">
          <cell r="C65" t="str">
            <v>Raised Blood Pressure</v>
          </cell>
        </row>
        <row r="66">
          <cell r="C66" t="str">
            <v>of the population have raised blood pressure* or are currently on medication for raised blood pressure</v>
          </cell>
          <cell r="D66">
            <v>0.36225792037284199</v>
          </cell>
        </row>
        <row r="67">
          <cell r="C67" t="str">
            <v>Of those …</v>
          </cell>
        </row>
        <row r="68">
          <cell r="C68" t="str">
            <v>have been previously diagnosed with raised blood pressure (aware)</v>
          </cell>
          <cell r="D68">
            <v>0.61052311680398197</v>
          </cell>
        </row>
        <row r="69">
          <cell r="C69" t="str">
            <v>are taking medication for their raised blood pressure (treated)</v>
          </cell>
          <cell r="D69">
            <v>0.40527095734318003</v>
          </cell>
        </row>
        <row r="70">
          <cell r="C70" t="str">
            <v>have their blood pressure under control (controlled)</v>
          </cell>
          <cell r="D70">
            <v>0.17892397607586299</v>
          </cell>
        </row>
        <row r="71">
          <cell r="C71" t="str">
            <v>* SBP ≥ 140 and/or DBP ≥ 90 mmHg</v>
          </cell>
        </row>
        <row r="73">
          <cell r="C73" t="str">
            <v>Raised Blood Sugar</v>
          </cell>
        </row>
        <row r="74">
          <cell r="C74" t="str">
            <v>of the population have raised blood sugar* or are currently on medication for diabetes</v>
          </cell>
          <cell r="D74">
            <v>0.32595983575895299</v>
          </cell>
        </row>
        <row r="75">
          <cell r="C75" t="str">
            <v>are currently receiving treatment</v>
          </cell>
          <cell r="D75">
            <v>0.490675199259967</v>
          </cell>
        </row>
        <row r="76">
          <cell r="C76" t="str">
            <v>of the population have never had their blood sugar measured</v>
          </cell>
          <cell r="D76">
            <v>0.150429409241252</v>
          </cell>
        </row>
        <row r="77">
          <cell r="C77" t="str">
            <v>* ≥ 126 mg/dl</v>
          </cell>
        </row>
        <row r="79">
          <cell r="C79" t="str">
            <v>Raised Total Cholesterol</v>
          </cell>
        </row>
        <row r="80">
          <cell r="C80" t="str">
            <v>of the population have raised total cholesterol*</v>
          </cell>
          <cell r="D80">
            <v>0.30846405700899199</v>
          </cell>
        </row>
        <row r="81">
          <cell r="C81" t="str">
            <v>of men have low HDL (good cholesterol)**</v>
          </cell>
          <cell r="D81">
            <v>0.51068816005975304</v>
          </cell>
        </row>
        <row r="82">
          <cell r="C82" t="str">
            <v>of women have low HDL (good cholesterol)***</v>
          </cell>
          <cell r="D82">
            <v>0.661777413579962</v>
          </cell>
        </row>
        <row r="83">
          <cell r="C83" t="str">
            <v xml:space="preserve">* ≥ 190 mg/dl </v>
          </cell>
        </row>
        <row r="84">
          <cell r="C84" t="str">
            <v>** &lt; 40 mg/d</v>
          </cell>
        </row>
        <row r="85">
          <cell r="C85" t="str">
            <v>*** &lt; 50 mg/d</v>
          </cell>
        </row>
        <row r="87">
          <cell r="C87" t="str">
            <v>Cardiovascular Disease</v>
          </cell>
        </row>
        <row r="88">
          <cell r="C88" t="str">
            <v>of the population aged 40-69 years have a 10-year CVD risk ≥20% or have existing CVD</v>
          </cell>
          <cell r="D88">
            <v>0.13926036430897001</v>
          </cell>
        </row>
        <row r="89">
          <cell r="C89" t="str">
            <v>of which</v>
          </cell>
        </row>
        <row r="90">
          <cell r="C90" t="str">
            <v>are receiving drug therapy and counselling to prevent heart attacks and strokes</v>
          </cell>
          <cell r="D90">
            <v>0.43903233005354497</v>
          </cell>
        </row>
        <row r="92">
          <cell r="C92" t="str">
            <v>Lifestyle Advice*</v>
          </cell>
        </row>
        <row r="93">
          <cell r="C93" t="str">
            <v>* advice received in the past 12 months from a health worker, among the total population</v>
          </cell>
        </row>
        <row r="94">
          <cell r="C94" t="str">
            <v>were advised to quit smoking or not start</v>
          </cell>
          <cell r="D94">
            <v>0.11646196157246599</v>
          </cell>
        </row>
        <row r="95">
          <cell r="C95" t="str">
            <v>were advised to lower the salt content in their food</v>
          </cell>
          <cell r="D95">
            <v>0.28036732652075302</v>
          </cell>
        </row>
        <row r="96">
          <cell r="C96" t="str">
            <v>were advised to eat at least five portions of fruit and vegetables a day</v>
          </cell>
          <cell r="D96">
            <v>0.36463313156733501</v>
          </cell>
        </row>
        <row r="97">
          <cell r="C97" t="str">
            <v>were advised to reduce fat in their diet</v>
          </cell>
          <cell r="D97">
            <v>0.38542192812346798</v>
          </cell>
        </row>
        <row r="98">
          <cell r="C98" t="str">
            <v>were advised to do more physical activity</v>
          </cell>
          <cell r="D98">
            <v>0.44257002102835402</v>
          </cell>
        </row>
        <row r="99">
          <cell r="C99" t="str">
            <v>were advised to maintain healthy weight/lose weight</v>
          </cell>
          <cell r="D99">
            <v>0.46108059865707801</v>
          </cell>
        </row>
        <row r="100">
          <cell r="C100" t="str">
            <v>were advised to reduce sugary drinks</v>
          </cell>
          <cell r="D100">
            <v>0.41747082475470298</v>
          </cell>
        </row>
        <row r="102">
          <cell r="C102" t="str">
            <v>Multiple Risk Factors</v>
          </cell>
        </row>
        <row r="103">
          <cell r="C103" t="str">
            <v>of the population aged 18-69 have 3 to 5 risk factors</v>
          </cell>
          <cell r="D103">
            <v>0.27102306775179902</v>
          </cell>
        </row>
        <row r="104">
          <cell r="C104" t="str">
            <v>of the population aged 18-69 have 1 to 2 risk factors</v>
          </cell>
          <cell r="D104">
            <v>0.714768272466904</v>
          </cell>
        </row>
        <row r="105">
          <cell r="C105" t="str">
            <v>of the population aged 18-69 have 0 risk factors</v>
          </cell>
          <cell r="D105">
            <v>1.4208659782986801E-2</v>
          </cell>
        </row>
        <row r="106">
          <cell r="C106" t="str">
            <v>of 18-44 year olds have 3 to 5 risk factors</v>
          </cell>
          <cell r="D106">
            <v>0.17272484176882499</v>
          </cell>
        </row>
        <row r="107">
          <cell r="C107" t="str">
            <v>of 45-69 year olds have 3 to 5 risk factors</v>
          </cell>
          <cell r="D107">
            <v>0.38490777169469598</v>
          </cell>
        </row>
        <row r="108">
          <cell r="C108" t="str">
            <v>* current daily smoking, &lt;5 servings of fruit or vegetables per day, not meeting WHO recommendations for physical activity, BMI≥25, raised blood pressure (SBP ≥ 140 and/or DBP ≥ 90 mmHg or currently on medication)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0574-AED4-4A71-AE22-5F14266F6688}">
  <sheetPr codeName="Sheet1"/>
  <dimension ref="A1:E108"/>
  <sheetViews>
    <sheetView tabSelected="1" zoomScale="110" zoomScaleNormal="110" workbookViewId="0">
      <selection activeCell="A109" sqref="A109"/>
    </sheetView>
  </sheetViews>
  <sheetFormatPr defaultColWidth="8.85546875" defaultRowHeight="15" x14ac:dyDescent="0.25"/>
  <cols>
    <col min="1" max="1" width="44" customWidth="1"/>
    <col min="3" max="3" width="20.42578125" bestFit="1" customWidth="1"/>
    <col min="5" max="5" width="13.85546875" style="5" bestFit="1" customWidth="1"/>
  </cols>
  <sheetData>
    <row r="1" spans="1:5" x14ac:dyDescent="0.25">
      <c r="A1" t="s">
        <v>0</v>
      </c>
      <c r="B1" s="54" t="s">
        <v>4</v>
      </c>
      <c r="C1" s="6" t="s">
        <v>1</v>
      </c>
      <c r="D1" s="6" t="s">
        <v>2</v>
      </c>
      <c r="E1" s="6" t="s">
        <v>3</v>
      </c>
    </row>
    <row r="2" spans="1:5" x14ac:dyDescent="0.25">
      <c r="A2" s="14" t="str">
        <f>[1]data!$C$2</f>
        <v>Tobacco Use</v>
      </c>
    </row>
    <row r="3" spans="1:5" x14ac:dyDescent="0.25">
      <c r="A3" t="str">
        <f>[1]data!$C$3</f>
        <v>of the population are current smokers</v>
      </c>
      <c r="B3" s="24">
        <f>[1]data!$D$3</f>
        <v>9.5868345383227305E-2</v>
      </c>
      <c r="C3" s="4">
        <f>(B3*100)</f>
        <v>9.58683453832273</v>
      </c>
      <c r="D3" s="4">
        <f>100-C3</f>
        <v>90.413165461677266</v>
      </c>
    </row>
    <row r="4" spans="1:5" x14ac:dyDescent="0.25">
      <c r="A4" s="2" t="str">
        <f>[1]data!$C$4</f>
        <v>of men</v>
      </c>
      <c r="B4" s="24">
        <f>[1]data!$D$4</f>
        <v>0.16904970534544</v>
      </c>
      <c r="C4" s="3">
        <f>ROUND(B4*100,1)</f>
        <v>16.899999999999999</v>
      </c>
      <c r="D4" s="3">
        <f t="shared" ref="D4:D16" si="0">100-C4</f>
        <v>83.1</v>
      </c>
      <c r="E4" s="5" t="str">
        <f>TEXT(B4, "0% ")&amp; CHAR(10) &amp; A4</f>
        <v>17% 
of men</v>
      </c>
    </row>
    <row r="5" spans="1:5" x14ac:dyDescent="0.25">
      <c r="A5" s="2" t="str">
        <f>[1]data!$C$5</f>
        <v>of women</v>
      </c>
      <c r="B5" s="24">
        <f>[1]data!$D$5</f>
        <v>2.8757018116263501E-2</v>
      </c>
      <c r="C5" s="3">
        <f>ROUND(B5*100,1)</f>
        <v>2.9</v>
      </c>
      <c r="D5" s="3">
        <f t="shared" si="0"/>
        <v>97.1</v>
      </c>
      <c r="E5" s="5" t="str">
        <f>IF(C5&lt;1,_xlfn.CONCAT("&lt;1% ", A5),TEXT(B5, "0% ")&amp; CHAR(10) &amp; A5)</f>
        <v>3% 
of women</v>
      </c>
    </row>
    <row r="6" spans="1:5" x14ac:dyDescent="0.25">
      <c r="A6" t="str">
        <f>[1]data!$C$6</f>
        <v>Among current smokers</v>
      </c>
      <c r="B6" s="1"/>
      <c r="C6" s="3"/>
      <c r="D6" s="3"/>
    </row>
    <row r="7" spans="1:5" s="31" customFormat="1" x14ac:dyDescent="0.25">
      <c r="A7" s="31" t="str">
        <f>[1]data!$C$7</f>
        <v>smoke daily</v>
      </c>
      <c r="B7" s="24">
        <f>[1]data!$D$7</f>
        <v>0.292629104874292</v>
      </c>
      <c r="C7" s="3">
        <f t="shared" ref="C7:C14" si="1">(B7*100)</f>
        <v>29.262910487429199</v>
      </c>
      <c r="D7" s="3">
        <f t="shared" si="0"/>
        <v>70.737089512570805</v>
      </c>
      <c r="E7" s="5"/>
    </row>
    <row r="8" spans="1:5" x14ac:dyDescent="0.25">
      <c r="A8" t="str">
        <f>[1]data!$C$8</f>
        <v>smoke manufactured cigarettes</v>
      </c>
      <c r="B8" s="24">
        <f>[1]data!$D$8</f>
        <v>0.86677187571240999</v>
      </c>
      <c r="C8" s="3">
        <f t="shared" si="1"/>
        <v>86.677187571240992</v>
      </c>
      <c r="D8" s="3">
        <f t="shared" si="0"/>
        <v>13.322812428759008</v>
      </c>
    </row>
    <row r="9" spans="1:5" x14ac:dyDescent="0.25">
      <c r="A9" t="str">
        <f>[1]data!$C$9</f>
        <v>smoke hand-rolled cigarettes</v>
      </c>
      <c r="B9" s="24">
        <f>[1]data!$D$9</f>
        <v>7.20366105350949E-2</v>
      </c>
      <c r="C9" s="3">
        <f t="shared" si="1"/>
        <v>7.2036610535094896</v>
      </c>
      <c r="D9" s="3">
        <f t="shared" si="0"/>
        <v>92.796338946490508</v>
      </c>
    </row>
    <row r="10" spans="1:5" x14ac:dyDescent="0.25">
      <c r="A10" t="str">
        <f>[1]data!$C$10</f>
        <v>smoke cigars, cheroots or cigarillos</v>
      </c>
      <c r="B10" s="24">
        <f>[1]data!$D$10</f>
        <v>2.46664092701823E-3</v>
      </c>
      <c r="C10" s="3">
        <f t="shared" si="1"/>
        <v>0.24666409270182299</v>
      </c>
      <c r="D10" s="3">
        <f t="shared" si="0"/>
        <v>99.75333590729818</v>
      </c>
    </row>
    <row r="11" spans="1:5" x14ac:dyDescent="0.25">
      <c r="A11" t="str">
        <f>[1]data!$C$11</f>
        <v>smoke pipes</v>
      </c>
      <c r="B11" s="24">
        <f>[1]data!$D$11</f>
        <v>1.36202893634498E-2</v>
      </c>
      <c r="C11" s="3">
        <f t="shared" si="1"/>
        <v>1.36202893634498</v>
      </c>
      <c r="D11" s="3">
        <f t="shared" si="0"/>
        <v>98.637971063655016</v>
      </c>
    </row>
    <row r="12" spans="1:5" x14ac:dyDescent="0.25">
      <c r="A12" t="str">
        <f>[1]data!$C$12</f>
        <v>smoke shisha</v>
      </c>
      <c r="B12" s="1">
        <f>[1]data!$D$12</f>
        <v>7.9274449407799995E-3</v>
      </c>
      <c r="C12" s="3">
        <f t="shared" si="1"/>
        <v>0.79274449407799996</v>
      </c>
      <c r="D12" s="3">
        <f t="shared" si="0"/>
        <v>99.207255505922006</v>
      </c>
    </row>
    <row r="13" spans="1:5" x14ac:dyDescent="0.25">
      <c r="A13" t="str">
        <f>[1]data!$C$13</f>
        <v>have tried to stop smoking during the past 12 months</v>
      </c>
      <c r="B13" s="1">
        <f>[1]data!$D$13</f>
        <v>0.54865878663552003</v>
      </c>
      <c r="C13" s="3">
        <f t="shared" si="1"/>
        <v>54.865878663552003</v>
      </c>
      <c r="D13" s="3">
        <f t="shared" si="0"/>
        <v>45.134121336447997</v>
      </c>
      <c r="E13" s="5" t="str">
        <f>TEXT(data!B13, "0% ") &amp; CHAR(10) &amp; A13</f>
        <v>55% 
have tried to stop smoking during the past 12 months</v>
      </c>
    </row>
    <row r="14" spans="1:5" x14ac:dyDescent="0.25">
      <c r="A14" t="str">
        <f>[1]data!$C$14</f>
        <v xml:space="preserve">have been advised by a health care professional to stop smoking </v>
      </c>
      <c r="B14" s="1">
        <f>[1]data!$D$14</f>
        <v>0.47170403520997101</v>
      </c>
      <c r="C14" s="3">
        <f t="shared" si="1"/>
        <v>47.170403520997098</v>
      </c>
      <c r="D14" s="3">
        <f t="shared" si="0"/>
        <v>52.829596479002902</v>
      </c>
      <c r="E14" s="5" t="str">
        <f>TEXT(data!B14, "0% ") &amp; CHAR(10) &amp; A14</f>
        <v xml:space="preserve">47% 
have been advised by a health care professional to stop smoking </v>
      </c>
    </row>
    <row r="15" spans="1:5" x14ac:dyDescent="0.25">
      <c r="A15" t="str">
        <f>[1]data!$C$15</f>
        <v>of the population are current smokeless users</v>
      </c>
      <c r="B15" s="1">
        <f>[1]data!$D$15</f>
        <v>1.6642277782832301E-3</v>
      </c>
      <c r="C15" s="3">
        <f t="shared" ref="C15:C16" si="2">(B15*100)</f>
        <v>0.16642277782832302</v>
      </c>
      <c r="D15" s="3">
        <f t="shared" si="0"/>
        <v>99.833577222171684</v>
      </c>
    </row>
    <row r="16" spans="1:5" x14ac:dyDescent="0.25">
      <c r="A16" t="str">
        <f>[1]data!$C$16</f>
        <v>of the population currently use any tobacco products</v>
      </c>
      <c r="B16" s="1">
        <f>[1]data!$D$16</f>
        <v>9.6711699166281195E-2</v>
      </c>
      <c r="C16" s="3">
        <f t="shared" si="2"/>
        <v>9.67116991662812</v>
      </c>
      <c r="D16" s="3">
        <f t="shared" si="0"/>
        <v>90.328830083371884</v>
      </c>
    </row>
    <row r="17" spans="1:5" x14ac:dyDescent="0.25">
      <c r="B17" s="1"/>
    </row>
    <row r="18" spans="1:5" x14ac:dyDescent="0.25">
      <c r="A18" s="14" t="str">
        <f>[1]data!$C$18</f>
        <v>Alcohol Use</v>
      </c>
      <c r="B18" s="1"/>
    </row>
    <row r="19" spans="1:5" x14ac:dyDescent="0.25">
      <c r="A19" t="str">
        <f>[1]data!$C$19</f>
        <v>of the population are current drinkers</v>
      </c>
      <c r="B19" s="24">
        <f>[1]data!$D$19</f>
        <v>0.27081665048940201</v>
      </c>
      <c r="C19" s="4">
        <f>B19*100</f>
        <v>27.081665048940202</v>
      </c>
      <c r="D19" s="4">
        <f>100-C19</f>
        <v>72.918334951059791</v>
      </c>
    </row>
    <row r="20" spans="1:5" x14ac:dyDescent="0.25">
      <c r="A20" s="2" t="str">
        <f>[1]data!$C$20</f>
        <v>of men</v>
      </c>
      <c r="B20" s="24">
        <f>[1]data!$D$20</f>
        <v>0.35574847314701302</v>
      </c>
      <c r="C20" s="3">
        <f>ROUND(B20*100,1)</f>
        <v>35.6</v>
      </c>
      <c r="D20" s="3">
        <f t="shared" ref="D20:D23" si="3">100-C20</f>
        <v>64.400000000000006</v>
      </c>
      <c r="E20" s="15" t="str">
        <f>TEXT(B20, "0% ")&amp; CHAR(10) &amp; A20</f>
        <v>36% 
of men</v>
      </c>
    </row>
    <row r="21" spans="1:5" x14ac:dyDescent="0.25">
      <c r="A21" s="2" t="str">
        <f>[1]data!$C$21</f>
        <v>of women</v>
      </c>
      <c r="B21" s="24">
        <f>[1]data!$D$21</f>
        <v>0.19292950376874901</v>
      </c>
      <c r="C21" s="3">
        <f>ROUND(B21*100,1)</f>
        <v>19.3</v>
      </c>
      <c r="D21" s="3">
        <f t="shared" si="3"/>
        <v>80.7</v>
      </c>
      <c r="E21" s="5" t="str">
        <f>TEXT(B21, "0% ")&amp; CHAR(10) &amp; A21</f>
        <v>19% 
of women</v>
      </c>
    </row>
    <row r="22" spans="1:5" x14ac:dyDescent="0.25">
      <c r="A22" s="2" t="str">
        <f>[1]data!$C$22</f>
        <v>of 18-44 years</v>
      </c>
      <c r="B22" s="24">
        <f>[1]data!$D$22</f>
        <v>0.31072667276911098</v>
      </c>
      <c r="C22" s="3">
        <f>ROUND(B22*100,1)</f>
        <v>31.1</v>
      </c>
      <c r="D22" s="3">
        <f t="shared" si="3"/>
        <v>68.900000000000006</v>
      </c>
      <c r="E22" s="5" t="str">
        <f>TEXT(B22, "0% ")&amp; CHAR(10) &amp; A22</f>
        <v>31% 
of 18-44 years</v>
      </c>
    </row>
    <row r="23" spans="1:5" x14ac:dyDescent="0.25">
      <c r="A23" s="2" t="str">
        <f>[1]data!$C$23</f>
        <v>of 45-69 years</v>
      </c>
      <c r="B23" s="24">
        <f>[1]data!$D$23</f>
        <v>0.224325013535698</v>
      </c>
      <c r="C23" s="3">
        <f>ROUND(B23*100,1)</f>
        <v>22.4</v>
      </c>
      <c r="D23" s="3">
        <f t="shared" si="3"/>
        <v>77.599999999999994</v>
      </c>
      <c r="E23" s="5" t="str">
        <f>TEXT(B23, "0% ")&amp; CHAR(10) &amp; A23</f>
        <v>22% 
of 45-69 years</v>
      </c>
    </row>
    <row r="24" spans="1:5" s="31" customFormat="1" x14ac:dyDescent="0.25">
      <c r="A24" s="2" t="str">
        <f>[1]data!$C$24</f>
        <v>are current drinkers</v>
      </c>
      <c r="B24" s="24"/>
      <c r="C24" s="3"/>
      <c r="D24" s="3"/>
      <c r="E24" s="5"/>
    </row>
    <row r="25" spans="1:5" x14ac:dyDescent="0.25">
      <c r="A25" t="str">
        <f>[1]data!$C$25</f>
        <v>of the population are lifetime abstainers</v>
      </c>
      <c r="B25" s="1">
        <f>[1]data!$D$25</f>
        <v>0.137924315803339</v>
      </c>
      <c r="C25" s="4">
        <f>ROUND(B25*100,1)</f>
        <v>13.8</v>
      </c>
      <c r="D25" s="4">
        <f>100-C25</f>
        <v>86.2</v>
      </c>
    </row>
    <row r="26" spans="1:5" s="31" customFormat="1" x14ac:dyDescent="0.25">
      <c r="A26" s="31" t="str">
        <f>[1]data!$C$26</f>
        <v>Heavy episodic drinking</v>
      </c>
      <c r="B26" s="1"/>
      <c r="C26" s="4"/>
      <c r="D26" s="4"/>
      <c r="E26" s="5"/>
    </row>
    <row r="27" spans="1:5" ht="30" x14ac:dyDescent="0.25">
      <c r="A27" s="16" t="str">
        <f>[1]data!$C$27</f>
        <v>of the population consumed 6 or more drinks on one occasion in the past 30 days</v>
      </c>
      <c r="B27" s="1">
        <f>[1]data!$D$27</f>
        <v>8.1187097871824696E-2</v>
      </c>
    </row>
    <row r="28" spans="1:5" ht="30" x14ac:dyDescent="0.25">
      <c r="A28" s="16" t="str">
        <f>[1]data!$C$28</f>
        <v>of men consumed 6 or more drinks on one occasion</v>
      </c>
      <c r="B28" s="1">
        <f>[1]data!$D$28</f>
        <v>0.12946420130368799</v>
      </c>
    </row>
    <row r="29" spans="1:5" ht="30" x14ac:dyDescent="0.25">
      <c r="A29" s="16" t="str">
        <f>[1]data!$C$29</f>
        <v>of women consumed 6 or more drinks on one occasion</v>
      </c>
      <c r="B29" s="1">
        <f>[1]data!$D$29</f>
        <v>3.6897568473613002E-2</v>
      </c>
    </row>
    <row r="31" spans="1:5" x14ac:dyDescent="0.25">
      <c r="A31" s="14" t="str">
        <f>[1]data!$C$31</f>
        <v>Diet</v>
      </c>
    </row>
    <row r="32" spans="1:5" s="31" customFormat="1" x14ac:dyDescent="0.25">
      <c r="A32" s="31" t="str">
        <f>[1]data!$C$32</f>
        <v xml:space="preserve"> days</v>
      </c>
      <c r="E32" s="5"/>
    </row>
    <row r="33" spans="1:5" ht="30" customHeight="1" x14ac:dyDescent="0.25">
      <c r="A33" s="16" t="str">
        <f>[1]data!$C$33</f>
        <v>mean number of days fruits are consumed in a typical week</v>
      </c>
      <c r="B33" s="26">
        <f>ROUND([1]data!$D$33,1)</f>
        <v>3.1</v>
      </c>
      <c r="C33" s="28">
        <f>B33*100/7</f>
        <v>44.285714285714285</v>
      </c>
      <c r="D33" s="29"/>
    </row>
    <row r="34" spans="1:5" ht="30" x14ac:dyDescent="0.25">
      <c r="A34" s="16" t="str">
        <f>[1]data!$C$34</f>
        <v>mean number of days vegetables consumed in a typical week</v>
      </c>
      <c r="B34" s="26">
        <f>ROUND([1]data!$D$34,1)</f>
        <v>3.8</v>
      </c>
      <c r="C34" s="28">
        <f>B34*100/7</f>
        <v>54.285714285714285</v>
      </c>
      <c r="D34" s="29"/>
    </row>
    <row r="35" spans="1:5" ht="30" x14ac:dyDescent="0.25">
      <c r="A35" s="16" t="str">
        <f>[1]data!$C$35</f>
        <v>of the population eat less than 5 servings of fruit and/or vegetables per day</v>
      </c>
      <c r="B35" s="1">
        <f>[1]data!$D$35</f>
        <v>0.91927039010522005</v>
      </c>
      <c r="C35" s="29">
        <f>ROUND(B35*100,0)</f>
        <v>92</v>
      </c>
      <c r="D35" s="4">
        <f>100-C35</f>
        <v>8</v>
      </c>
    </row>
    <row r="36" spans="1:5" ht="30" x14ac:dyDescent="0.25">
      <c r="A36" s="16" t="str">
        <f>[1]data!$C$36</f>
        <v>of the population do not eat any fruit or vegetables</v>
      </c>
      <c r="B36" s="1">
        <f>[1]data!$D$36</f>
        <v>0.26345796430082002</v>
      </c>
      <c r="C36" s="4">
        <f>B36*100</f>
        <v>26.345796430082004</v>
      </c>
      <c r="D36" s="4">
        <f>100-C36</f>
        <v>73.654203569917996</v>
      </c>
      <c r="E36" s="5" t="str">
        <f>TEXT(data!B36, "0% ") &amp; CHAR(10) &amp; A36</f>
        <v>26% 
of the population do not eat any fruit or vegetables</v>
      </c>
    </row>
    <row r="37" spans="1:5" ht="32.25" customHeight="1" x14ac:dyDescent="0.25">
      <c r="A37" s="16" t="str">
        <f>[1]data!$C$37</f>
        <v>of the population always or often eat processed foods high in salt</v>
      </c>
      <c r="B37" s="1">
        <f>[1]data!$D$37</f>
        <v>0.410590091993219</v>
      </c>
      <c r="C37" s="3">
        <f>B37*100</f>
        <v>41.059009199321899</v>
      </c>
      <c r="D37" s="3">
        <f t="shared" ref="D37" si="4">100-C37</f>
        <v>58.940990800678101</v>
      </c>
    </row>
    <row r="38" spans="1:5" ht="30" x14ac:dyDescent="0.25">
      <c r="A38" s="16" t="str">
        <f>[1]data!$C$38</f>
        <v>mean number of grams of salt consumed per day</v>
      </c>
      <c r="B38" s="26">
        <f>[1]data!$D$38</f>
        <v>4.5</v>
      </c>
      <c r="C38" s="3" t="str">
        <f>_xlfn.CONCAT(B38)</f>
        <v>4.5</v>
      </c>
      <c r="D38" s="3"/>
    </row>
    <row r="40" spans="1:5" x14ac:dyDescent="0.25">
      <c r="A40" s="14" t="str">
        <f>[1]data!$C$40</f>
        <v>Physical Activity</v>
      </c>
    </row>
    <row r="41" spans="1:5" ht="30" x14ac:dyDescent="0.25">
      <c r="A41" s="16" t="str">
        <f>[1]data!$C$41</f>
        <v>of the population are not meeting WHO's recommendation for physical activity</v>
      </c>
      <c r="B41" s="1">
        <f>[1]data!$D$41</f>
        <v>0.15331747397770601</v>
      </c>
      <c r="C41" s="3">
        <f t="shared" ref="C41:C47" si="5">B41*100</f>
        <v>15.3317473977706</v>
      </c>
      <c r="D41" s="3">
        <f t="shared" ref="D41:D50" si="6">100-C41</f>
        <v>84.668252602229401</v>
      </c>
    </row>
    <row r="42" spans="1:5" s="31" customFormat="1" x14ac:dyDescent="0.25">
      <c r="A42" s="16" t="str">
        <f>[1]data!$C$42</f>
        <v>Among women …</v>
      </c>
      <c r="B42" s="1"/>
      <c r="C42" s="3"/>
      <c r="D42" s="3"/>
      <c r="E42" s="5"/>
    </row>
    <row r="43" spans="1:5" s="31" customFormat="1" x14ac:dyDescent="0.25">
      <c r="A43" s="16" t="str">
        <f>[1]data!$C$43</f>
        <v>Among men …</v>
      </c>
      <c r="B43" s="1"/>
      <c r="C43" s="3"/>
      <c r="D43" s="3"/>
      <c r="E43" s="5"/>
    </row>
    <row r="44" spans="1:5" ht="30" x14ac:dyDescent="0.25">
      <c r="A44" s="16" t="str">
        <f>[1]data!$C$44</f>
        <v>are not meeting WHO's recommendation for physical activity</v>
      </c>
      <c r="B44" s="1">
        <f>[1]data!$D$44</f>
        <v>0.126894667688952</v>
      </c>
      <c r="C44" s="3">
        <f t="shared" si="5"/>
        <v>12.689466768895199</v>
      </c>
      <c r="D44" s="3">
        <f t="shared" si="6"/>
        <v>87.310533231104799</v>
      </c>
    </row>
    <row r="45" spans="1:5" ht="30" x14ac:dyDescent="0.25">
      <c r="A45" s="16" t="str">
        <f>[1]data!$C$45</f>
        <v>are not meeting WHO's recommendation for physical activity</v>
      </c>
      <c r="B45" s="1">
        <f>[1]data!$D$45</f>
        <v>0.17937866963428001</v>
      </c>
      <c r="C45" s="3">
        <f t="shared" si="5"/>
        <v>17.937866963428</v>
      </c>
      <c r="D45" s="3">
        <f t="shared" si="6"/>
        <v>82.062133036571993</v>
      </c>
    </row>
    <row r="46" spans="1:5" ht="30" x14ac:dyDescent="0.25">
      <c r="A46" s="16" t="str">
        <f>[1]data!$C$46</f>
        <v>are not engaging in any vigorous physical activity</v>
      </c>
      <c r="B46" s="1">
        <f>[1]data!$D$46</f>
        <v>0.230499947806418</v>
      </c>
      <c r="C46" s="3">
        <f t="shared" si="5"/>
        <v>23.0499947806418</v>
      </c>
      <c r="D46" s="3">
        <f t="shared" si="6"/>
        <v>76.950005219358204</v>
      </c>
    </row>
    <row r="47" spans="1:5" ht="30" x14ac:dyDescent="0.25">
      <c r="A47" s="16" t="str">
        <f>[1]data!$C$47</f>
        <v>are not engaging in any vigorous physical activity</v>
      </c>
      <c r="B47" s="1">
        <f>[1]data!$D$47</f>
        <v>0.57438181124198595</v>
      </c>
      <c r="C47" s="3">
        <f t="shared" si="5"/>
        <v>57.438181124198593</v>
      </c>
      <c r="D47" s="3">
        <f t="shared" si="6"/>
        <v>42.561818875801407</v>
      </c>
    </row>
    <row r="48" spans="1:5" ht="30" x14ac:dyDescent="0.25">
      <c r="A48" s="16" t="str">
        <f>[1]data!$C$48</f>
        <v>of the population do not do any work-related activity</v>
      </c>
      <c r="B48" s="1">
        <f>[1]data!$D$48</f>
        <v>0.26689826575900999</v>
      </c>
      <c r="C48" s="50">
        <f>B48*100</f>
        <v>26.689826575900998</v>
      </c>
      <c r="D48" s="3">
        <f t="shared" si="6"/>
        <v>73.310173424099006</v>
      </c>
    </row>
    <row r="49" spans="1:5" ht="30" x14ac:dyDescent="0.25">
      <c r="A49" s="16" t="str">
        <f>[1]data!$C$49</f>
        <v>of the population do not do any transport-related activity e.g. walking or cycling</v>
      </c>
      <c r="B49" s="1">
        <f>[1]data!$D$49</f>
        <v>0.73627233813542403</v>
      </c>
      <c r="C49" s="3">
        <f>B49*100</f>
        <v>73.627233813542404</v>
      </c>
      <c r="D49" s="3">
        <f t="shared" si="6"/>
        <v>26.372766186457596</v>
      </c>
    </row>
    <row r="50" spans="1:5" ht="30" x14ac:dyDescent="0.25">
      <c r="A50" s="16" t="str">
        <f>[1]data!$C$50</f>
        <v>of the population do not do any activity in their leisure time</v>
      </c>
      <c r="B50" s="1">
        <f>[1]data!$D$50</f>
        <v>0.431924632566349</v>
      </c>
      <c r="C50" s="3">
        <f>B50*100</f>
        <v>43.192463256634902</v>
      </c>
      <c r="D50" s="3">
        <f t="shared" si="6"/>
        <v>56.807536743365098</v>
      </c>
    </row>
    <row r="51" spans="1:5" x14ac:dyDescent="0.25">
      <c r="A51" s="16" t="str">
        <f>[1]data!$C$51</f>
        <v>Average time spent in sedentary activity per day</v>
      </c>
      <c r="B51">
        <f>[1]data!$D$51</f>
        <v>234.98297636691001</v>
      </c>
      <c r="C51" s="3"/>
      <c r="D51" s="3"/>
    </row>
    <row r="52" spans="1:5" s="31" customFormat="1" x14ac:dyDescent="0.25">
      <c r="A52" s="16" t="str">
        <f>[1]data!$C$52</f>
        <v>minutes</v>
      </c>
      <c r="C52" s="3" t="str">
        <f>IF(B51&gt;59,_xlfn.CONCAT(ROUND(B51/60,1)," ",A53),_xlfn.CONCAT(ROUND(B51,0)," ",A52))</f>
        <v>3.9 hours</v>
      </c>
      <c r="D52" s="3"/>
      <c r="E52" s="5"/>
    </row>
    <row r="53" spans="1:5" s="31" customFormat="1" x14ac:dyDescent="0.25">
      <c r="A53" s="16" t="str">
        <f>[1]data!$C$53</f>
        <v>hours</v>
      </c>
      <c r="C53" s="3"/>
      <c r="D53" s="3"/>
      <c r="E53" s="5"/>
    </row>
    <row r="55" spans="1:5" x14ac:dyDescent="0.25">
      <c r="A55" s="14" t="str">
        <f>[1]data!$C$55</f>
        <v>Body Mass Index</v>
      </c>
    </row>
    <row r="56" spans="1:5" x14ac:dyDescent="0.25">
      <c r="A56" s="16" t="str">
        <f>[1]data!$C$56</f>
        <v>of the population are overweight*</v>
      </c>
      <c r="B56" s="1">
        <f>[1]data!$D$56</f>
        <v>0.70431390646202996</v>
      </c>
      <c r="C56" s="3">
        <f t="shared" ref="C56:C61" si="7">B56*100</f>
        <v>70.431390646202999</v>
      </c>
      <c r="D56" s="3">
        <f t="shared" ref="D56:D61" si="8">100-C56</f>
        <v>29.568609353797001</v>
      </c>
    </row>
    <row r="57" spans="1:5" x14ac:dyDescent="0.25">
      <c r="A57" s="16" t="str">
        <f>[1]data!$C$57</f>
        <v>of men are overweight</v>
      </c>
      <c r="B57" s="1">
        <f>[1]data!$D$57</f>
        <v>0.65998481314155899</v>
      </c>
      <c r="C57" s="3">
        <f t="shared" si="7"/>
        <v>65.998481314155896</v>
      </c>
      <c r="D57" s="3">
        <f t="shared" si="8"/>
        <v>34.001518685844104</v>
      </c>
    </row>
    <row r="58" spans="1:5" x14ac:dyDescent="0.25">
      <c r="A58" s="16" t="str">
        <f>[1]data!$C$58</f>
        <v>of women are overweight</v>
      </c>
      <c r="B58" s="1">
        <f>[1]data!$D$58</f>
        <v>0.74541050844360002</v>
      </c>
      <c r="C58" s="3">
        <f t="shared" si="7"/>
        <v>74.541050844360001</v>
      </c>
      <c r="D58" s="3">
        <f t="shared" si="8"/>
        <v>25.458949155639999</v>
      </c>
    </row>
    <row r="59" spans="1:5" x14ac:dyDescent="0.25">
      <c r="A59" s="16" t="str">
        <f>[1]data!$C$59</f>
        <v>of the population are obese**</v>
      </c>
      <c r="B59" s="1">
        <f>[1]data!$D$59</f>
        <v>0.31361173699675299</v>
      </c>
      <c r="C59" s="3">
        <f t="shared" si="7"/>
        <v>31.361173699675298</v>
      </c>
      <c r="D59" s="3">
        <f t="shared" si="8"/>
        <v>68.638826300324695</v>
      </c>
    </row>
    <row r="60" spans="1:5" x14ac:dyDescent="0.25">
      <c r="A60" s="16" t="str">
        <f>[1]data!$C$60</f>
        <v>of men are obese</v>
      </c>
      <c r="B60" s="1">
        <f>[1]data!$D$60</f>
        <v>0.233490002268708</v>
      </c>
      <c r="C60" s="3">
        <f t="shared" si="7"/>
        <v>23.3490002268708</v>
      </c>
      <c r="D60" s="3">
        <f t="shared" si="8"/>
        <v>76.6509997731292</v>
      </c>
    </row>
    <row r="61" spans="1:5" x14ac:dyDescent="0.25">
      <c r="A61" s="16" t="str">
        <f>[1]data!$C$61</f>
        <v>of women are obese</v>
      </c>
      <c r="B61" s="1">
        <f>[1]data!$D$61</f>
        <v>0.38789096979522403</v>
      </c>
      <c r="C61" s="3">
        <f t="shared" si="7"/>
        <v>38.789096979522405</v>
      </c>
      <c r="D61" s="3">
        <f t="shared" si="8"/>
        <v>61.210903020477595</v>
      </c>
    </row>
    <row r="62" spans="1:5" s="55" customFormat="1" x14ac:dyDescent="0.25">
      <c r="A62" s="16" t="str">
        <f>[1]data!$C$62</f>
        <v>* BMI ≥ 25</v>
      </c>
      <c r="B62" s="1"/>
      <c r="C62" s="3"/>
      <c r="D62" s="3"/>
      <c r="E62" s="5"/>
    </row>
    <row r="63" spans="1:5" s="55" customFormat="1" x14ac:dyDescent="0.25">
      <c r="A63" s="16" t="str">
        <f>[1]data!$C$63</f>
        <v>** BMI ≥ 30</v>
      </c>
      <c r="B63" s="1"/>
      <c r="C63" s="3"/>
      <c r="D63" s="3"/>
      <c r="E63" s="5"/>
    </row>
    <row r="65" spans="1:5" x14ac:dyDescent="0.25">
      <c r="A65" s="14" t="str">
        <f>[1]data!$C$65</f>
        <v>Raised Blood Pressure</v>
      </c>
    </row>
    <row r="66" spans="1:5" ht="45" x14ac:dyDescent="0.25">
      <c r="A66" s="16" t="str">
        <f>[1]data!$C$66</f>
        <v>of the population have raised blood pressure* or are currently on medication for raised blood pressure</v>
      </c>
      <c r="B66" s="1">
        <f>[1]data!$D$66</f>
        <v>0.36225792037284199</v>
      </c>
      <c r="C66" s="3">
        <f>B66*100</f>
        <v>36.225792037284201</v>
      </c>
      <c r="D66" s="3">
        <f t="shared" ref="D66" si="9">100-C66</f>
        <v>63.774207962715799</v>
      </c>
    </row>
    <row r="67" spans="1:5" x14ac:dyDescent="0.25">
      <c r="A67" s="16" t="str">
        <f>[1]data!$C$67</f>
        <v>Of those …</v>
      </c>
      <c r="B67" s="25"/>
    </row>
    <row r="68" spans="1:5" ht="30" x14ac:dyDescent="0.25">
      <c r="A68" s="16" t="str">
        <f>[1]data!$C$68</f>
        <v>have been previously diagnosed with raised blood pressure (aware)</v>
      </c>
      <c r="B68" s="1">
        <f>[1]data!$D$68</f>
        <v>0.61052311680398197</v>
      </c>
      <c r="C68" s="3">
        <f t="shared" ref="C68:C70" si="10">B68*100</f>
        <v>61.052311680398198</v>
      </c>
      <c r="D68" s="3">
        <f t="shared" ref="D68:D70" si="11">100-C68</f>
        <v>38.947688319601802</v>
      </c>
    </row>
    <row r="69" spans="1:5" ht="30" x14ac:dyDescent="0.25">
      <c r="A69" s="16" t="str">
        <f>[1]data!$C$69</f>
        <v>are taking medication for their raised blood pressure (treated)</v>
      </c>
      <c r="B69" s="1">
        <f>[1]data!$D$69</f>
        <v>0.40527095734318003</v>
      </c>
      <c r="C69" s="3">
        <f t="shared" si="10"/>
        <v>40.527095734318003</v>
      </c>
      <c r="D69" s="3">
        <f t="shared" si="11"/>
        <v>59.472904265681997</v>
      </c>
    </row>
    <row r="70" spans="1:5" ht="20.25" customHeight="1" x14ac:dyDescent="0.25">
      <c r="A70" s="16" t="str">
        <f>[1]data!$C$70</f>
        <v>have their blood pressure under control (controlled)</v>
      </c>
      <c r="B70" s="1">
        <f>[1]data!$D$70</f>
        <v>0.17892397607586299</v>
      </c>
      <c r="C70" s="3">
        <f t="shared" si="10"/>
        <v>17.8923976075863</v>
      </c>
      <c r="D70" s="3">
        <f t="shared" si="11"/>
        <v>82.107602392413696</v>
      </c>
    </row>
    <row r="71" spans="1:5" s="55" customFormat="1" ht="20.25" customHeight="1" x14ac:dyDescent="0.25">
      <c r="A71" s="16" t="str">
        <f>[1]data!$C$71</f>
        <v>* SBP ≥ 140 and/or DBP ≥ 90 mmHg</v>
      </c>
      <c r="B71" s="1"/>
      <c r="C71" s="3"/>
      <c r="D71" s="3"/>
      <c r="E71" s="5"/>
    </row>
    <row r="72" spans="1:5" x14ac:dyDescent="0.25">
      <c r="A72" s="16"/>
    </row>
    <row r="73" spans="1:5" x14ac:dyDescent="0.25">
      <c r="A73" s="14" t="str">
        <f>[1]data!$C$73</f>
        <v>Raised Blood Sugar</v>
      </c>
    </row>
    <row r="74" spans="1:5" ht="30" x14ac:dyDescent="0.25">
      <c r="A74" s="16" t="str">
        <f>[1]data!$C$74</f>
        <v>of the population have raised blood sugar* or are currently on medication for diabetes</v>
      </c>
      <c r="B74" s="1">
        <f>[1]data!$D$74</f>
        <v>0.32595983575895299</v>
      </c>
      <c r="C74" s="3">
        <f>B74*100</f>
        <v>32.595983575895296</v>
      </c>
      <c r="D74" s="3">
        <f t="shared" ref="D74" si="12">100-C74</f>
        <v>67.404016424104697</v>
      </c>
    </row>
    <row r="75" spans="1:5" x14ac:dyDescent="0.25">
      <c r="A75" s="16" t="str">
        <f>[1]data!$C$75</f>
        <v>are currently receiving treatment</v>
      </c>
      <c r="B75" s="1">
        <f>[1]data!$D$75</f>
        <v>0.490675199259967</v>
      </c>
      <c r="C75" s="3">
        <f>B75*100</f>
        <v>49.067519925996699</v>
      </c>
      <c r="D75" s="3">
        <f>100-C75</f>
        <v>50.932480074003301</v>
      </c>
    </row>
    <row r="76" spans="1:5" ht="30" x14ac:dyDescent="0.25">
      <c r="A76" s="16" t="str">
        <f>[1]data!$C$76</f>
        <v>of the population have never had their blood sugar measured</v>
      </c>
      <c r="B76" s="1">
        <f>[1]data!$D$76</f>
        <v>0.150429409241252</v>
      </c>
      <c r="C76" s="3"/>
      <c r="D76" s="3"/>
      <c r="E76"/>
    </row>
    <row r="77" spans="1:5" s="55" customFormat="1" x14ac:dyDescent="0.25">
      <c r="A77" s="16" t="str">
        <f>[1]data!$C$77</f>
        <v>* ≥ 126 mg/dl</v>
      </c>
      <c r="B77" s="1"/>
      <c r="C77" s="3"/>
      <c r="D77" s="3"/>
    </row>
    <row r="78" spans="1:5" x14ac:dyDescent="0.25">
      <c r="A78" s="16"/>
      <c r="B78" s="23"/>
      <c r="C78" s="3"/>
      <c r="D78" s="3"/>
      <c r="E78"/>
    </row>
    <row r="79" spans="1:5" x14ac:dyDescent="0.25">
      <c r="A79" s="14" t="str">
        <f>[1]data!$C$79</f>
        <v>Raised Total Cholesterol</v>
      </c>
      <c r="B79" s="23"/>
      <c r="C79" s="27"/>
      <c r="D79" s="27"/>
      <c r="E79"/>
    </row>
    <row r="80" spans="1:5" x14ac:dyDescent="0.25">
      <c r="A80" s="16" t="str">
        <f>[1]data!$C$80</f>
        <v>of the population have raised total cholesterol*</v>
      </c>
      <c r="B80" s="1">
        <f>[1]data!$D$80</f>
        <v>0.30846405700899199</v>
      </c>
      <c r="C80" s="3">
        <f t="shared" ref="C80:C82" si="13">B80*100</f>
        <v>30.846405700899197</v>
      </c>
      <c r="D80" s="3">
        <f t="shared" ref="D80" si="14">100-C80</f>
        <v>69.153594299100803</v>
      </c>
      <c r="E80"/>
    </row>
    <row r="81" spans="1:5" x14ac:dyDescent="0.25">
      <c r="A81" s="16" t="str">
        <f>[1]data!$C$81</f>
        <v>of men have low HDL (good cholesterol)**</v>
      </c>
      <c r="B81" s="1">
        <f>[1]data!$D$81</f>
        <v>0.51068816005975304</v>
      </c>
      <c r="C81" s="3">
        <f t="shared" si="13"/>
        <v>51.068816005975307</v>
      </c>
      <c r="D81" s="3">
        <f t="shared" ref="D81" si="15">100-C81</f>
        <v>48.931183994024693</v>
      </c>
      <c r="E81"/>
    </row>
    <row r="82" spans="1:5" x14ac:dyDescent="0.25">
      <c r="A82" s="16" t="str">
        <f>[1]data!$C$82</f>
        <v>of women have low HDL (good cholesterol)***</v>
      </c>
      <c r="B82" s="1">
        <f>[1]data!$D$82</f>
        <v>0.661777413579962</v>
      </c>
      <c r="C82" s="3">
        <f t="shared" si="13"/>
        <v>66.177741357996197</v>
      </c>
      <c r="D82" s="3">
        <f t="shared" ref="D82" si="16">100-C82</f>
        <v>33.822258642003803</v>
      </c>
      <c r="E82"/>
    </row>
    <row r="83" spans="1:5" s="55" customFormat="1" x14ac:dyDescent="0.25">
      <c r="A83" s="16" t="str">
        <f>[1]data!$C$83</f>
        <v xml:space="preserve">* ≥ 190 mg/dl </v>
      </c>
      <c r="B83" s="1"/>
      <c r="C83" s="3"/>
      <c r="D83" s="3"/>
    </row>
    <row r="84" spans="1:5" s="55" customFormat="1" x14ac:dyDescent="0.25">
      <c r="A84" s="16" t="str">
        <f>[1]data!$C$84</f>
        <v>** &lt; 40 mg/d</v>
      </c>
      <c r="B84" s="1"/>
      <c r="C84" s="3"/>
      <c r="D84" s="3"/>
    </row>
    <row r="85" spans="1:5" s="55" customFormat="1" x14ac:dyDescent="0.25">
      <c r="A85" s="16" t="str">
        <f>[1]data!$C$85</f>
        <v>*** &lt; 50 mg/d</v>
      </c>
      <c r="B85" s="1"/>
      <c r="C85" s="3"/>
      <c r="D85" s="3"/>
    </row>
    <row r="86" spans="1:5" x14ac:dyDescent="0.25">
      <c r="A86" s="16"/>
      <c r="B86" s="23"/>
      <c r="C86" s="3"/>
      <c r="D86" s="3"/>
      <c r="E86"/>
    </row>
    <row r="87" spans="1:5" x14ac:dyDescent="0.25">
      <c r="A87" s="14" t="str">
        <f>[1]data!$C$87</f>
        <v>Cardiovascular Disease</v>
      </c>
      <c r="E87"/>
    </row>
    <row r="88" spans="1:5" x14ac:dyDescent="0.25">
      <c r="A88" t="str">
        <f>[1]data!$C$88</f>
        <v>of the population aged 40-69 years have a 10-year CVD risk ≥20% or have existing CVD</v>
      </c>
      <c r="B88" s="1">
        <f>[1]data!$D$88</f>
        <v>0.13926036430897001</v>
      </c>
      <c r="C88" s="3">
        <f>ROUND(B88*100,1)</f>
        <v>13.9</v>
      </c>
      <c r="D88" s="3">
        <f>100-C88</f>
        <v>86.1</v>
      </c>
    </row>
    <row r="89" spans="1:5" s="31" customFormat="1" x14ac:dyDescent="0.25">
      <c r="A89" s="33" t="str">
        <f>[1]data!$C$89</f>
        <v>of which</v>
      </c>
      <c r="B89" s="1"/>
      <c r="C89" s="3"/>
      <c r="D89" s="3"/>
      <c r="E89" s="5"/>
    </row>
    <row r="90" spans="1:5" ht="30" x14ac:dyDescent="0.25">
      <c r="A90" s="16" t="str">
        <f>[1]data!$C$90</f>
        <v>are receiving drug therapy and counselling to prevent heart attacks and strokes</v>
      </c>
      <c r="B90" s="1">
        <f>[1]data!$D$90</f>
        <v>0.43903233005354497</v>
      </c>
      <c r="C90" s="3">
        <f t="shared" ref="C90:C100" si="17">ROUND(B90*100,1)</f>
        <v>43.9</v>
      </c>
      <c r="D90" s="3">
        <f t="shared" ref="D90:D100" si="18">100-C90</f>
        <v>56.1</v>
      </c>
    </row>
    <row r="91" spans="1:5" x14ac:dyDescent="0.25">
      <c r="A91" s="16"/>
      <c r="B91" s="1"/>
      <c r="C91" s="3"/>
      <c r="D91" s="3"/>
    </row>
    <row r="92" spans="1:5" x14ac:dyDescent="0.25">
      <c r="A92" s="14" t="str">
        <f>[1]data!$C$92</f>
        <v>Lifestyle Advice*</v>
      </c>
    </row>
    <row r="93" spans="1:5" s="31" customFormat="1" ht="30" x14ac:dyDescent="0.25">
      <c r="A93" s="16" t="str">
        <f>[1]data!$C$93</f>
        <v>* advice received in the past 12 months from a health worker, among the total population</v>
      </c>
      <c r="E93" s="5"/>
    </row>
    <row r="94" spans="1:5" x14ac:dyDescent="0.25">
      <c r="A94" s="16" t="str">
        <f>[1]data!$C$94</f>
        <v>were advised to quit smoking or not start</v>
      </c>
      <c r="B94" s="1">
        <f>[1]data!$D$94</f>
        <v>0.11646196157246599</v>
      </c>
      <c r="C94" s="3">
        <f>ROUND(B94*100,1)</f>
        <v>11.6</v>
      </c>
      <c r="D94" s="3">
        <f>100-C94</f>
        <v>88.4</v>
      </c>
    </row>
    <row r="95" spans="1:5" ht="30" x14ac:dyDescent="0.25">
      <c r="A95" s="16" t="str">
        <f>[1]data!$C$95</f>
        <v>were advised to lower the salt content in their food</v>
      </c>
      <c r="B95" s="1">
        <f>[1]data!$D$95</f>
        <v>0.28036732652075302</v>
      </c>
      <c r="C95" s="3">
        <f>ROUND(B95*100,1)</f>
        <v>28</v>
      </c>
      <c r="D95" s="3">
        <f>100-C95</f>
        <v>72</v>
      </c>
    </row>
    <row r="96" spans="1:5" ht="30" x14ac:dyDescent="0.25">
      <c r="A96" s="16" t="str">
        <f>[1]data!$C$96</f>
        <v>were advised to eat at least five portions of fruit and vegetables a day</v>
      </c>
      <c r="B96" s="1">
        <f>[1]data!$D$96</f>
        <v>0.36463313156733501</v>
      </c>
      <c r="C96" s="3">
        <f t="shared" si="17"/>
        <v>36.5</v>
      </c>
      <c r="D96" s="3">
        <f t="shared" si="18"/>
        <v>63.5</v>
      </c>
    </row>
    <row r="97" spans="1:4" x14ac:dyDescent="0.25">
      <c r="A97" s="16" t="str">
        <f>[1]data!$C$97</f>
        <v>were advised to reduce fat in their diet</v>
      </c>
      <c r="B97" s="1">
        <f>[1]data!$D$97</f>
        <v>0.38542192812346798</v>
      </c>
      <c r="C97" s="3">
        <f t="shared" si="17"/>
        <v>38.5</v>
      </c>
      <c r="D97" s="3">
        <f t="shared" si="18"/>
        <v>61.5</v>
      </c>
    </row>
    <row r="98" spans="1:4" x14ac:dyDescent="0.25">
      <c r="A98" s="16" t="str">
        <f>[1]data!$C$98</f>
        <v>were advised to do more physical activity</v>
      </c>
      <c r="B98" s="1">
        <f>[1]data!$D$98</f>
        <v>0.44257002102835402</v>
      </c>
      <c r="C98" s="3">
        <f t="shared" si="17"/>
        <v>44.3</v>
      </c>
      <c r="D98" s="3">
        <f t="shared" si="18"/>
        <v>55.7</v>
      </c>
    </row>
    <row r="99" spans="1:4" ht="30" x14ac:dyDescent="0.25">
      <c r="A99" s="16" t="str">
        <f>[1]data!$C$99</f>
        <v>were advised to maintain healthy weight/lose weight</v>
      </c>
      <c r="B99" s="1">
        <f>[1]data!$D$99</f>
        <v>0.46108059865707801</v>
      </c>
      <c r="C99" s="3">
        <f t="shared" si="17"/>
        <v>46.1</v>
      </c>
      <c r="D99" s="3">
        <f t="shared" si="18"/>
        <v>53.9</v>
      </c>
    </row>
    <row r="100" spans="1:4" x14ac:dyDescent="0.25">
      <c r="A100" s="16" t="str">
        <f>[1]data!$C$100</f>
        <v>were advised to reduce sugary drinks</v>
      </c>
      <c r="B100" s="1">
        <f>[1]data!$D$100</f>
        <v>0.41747082475470298</v>
      </c>
      <c r="C100" s="3">
        <f t="shared" si="17"/>
        <v>41.7</v>
      </c>
      <c r="D100" s="3">
        <f t="shared" si="18"/>
        <v>58.3</v>
      </c>
    </row>
    <row r="101" spans="1:4" x14ac:dyDescent="0.25">
      <c r="A101" s="16"/>
      <c r="B101" s="1"/>
      <c r="C101" s="3"/>
      <c r="D101" s="3"/>
    </row>
    <row r="102" spans="1:4" ht="18.95" customHeight="1" x14ac:dyDescent="0.25">
      <c r="A102" s="14" t="str">
        <f>[1]data!$C$102</f>
        <v>Multiple Risk Factors</v>
      </c>
      <c r="B102" s="1"/>
      <c r="C102" s="3"/>
      <c r="D102" s="3"/>
    </row>
    <row r="103" spans="1:4" x14ac:dyDescent="0.25">
      <c r="A103" t="str">
        <f>[1]data!$C$103</f>
        <v>of the population aged 18-69 have 3 to 5 risk factors</v>
      </c>
      <c r="B103" s="24">
        <f>[1]data!$D$103</f>
        <v>0.27102306775179902</v>
      </c>
      <c r="C103" s="3">
        <f t="shared" ref="C103" si="19">ROUND(B103*100,1)</f>
        <v>27.1</v>
      </c>
      <c r="D103" s="3">
        <f t="shared" ref="D103" si="20">100-C103</f>
        <v>72.900000000000006</v>
      </c>
    </row>
    <row r="104" spans="1:4" x14ac:dyDescent="0.25">
      <c r="A104" t="str">
        <f>[1]data!$C$104</f>
        <v>of the population aged 18-69 have 1 to 2 risk factors</v>
      </c>
      <c r="B104" s="24">
        <f>[1]data!$D$104</f>
        <v>0.714768272466904</v>
      </c>
      <c r="C104" s="3">
        <f t="shared" ref="C104" si="21">ROUND(B104*100,1)</f>
        <v>71.5</v>
      </c>
      <c r="D104" s="3">
        <f t="shared" ref="D104" si="22">100-C104</f>
        <v>28.5</v>
      </c>
    </row>
    <row r="105" spans="1:4" x14ac:dyDescent="0.25">
      <c r="A105" t="str">
        <f>[1]data!$C$105</f>
        <v>of the population aged 18-69 have 0 risk factors</v>
      </c>
      <c r="B105" s="1">
        <f>[1]data!$D$105</f>
        <v>1.4208659782986801E-2</v>
      </c>
      <c r="C105" s="3">
        <f t="shared" ref="C105:C107" si="23">ROUND(B105*100,1)</f>
        <v>1.4</v>
      </c>
      <c r="D105" s="3">
        <f t="shared" ref="D105:D107" si="24">100-C105</f>
        <v>98.6</v>
      </c>
    </row>
    <row r="106" spans="1:4" x14ac:dyDescent="0.25">
      <c r="A106" t="str">
        <f>[1]data!$C$106</f>
        <v>of 18-44 year olds have 3 to 5 risk factors</v>
      </c>
      <c r="B106" s="1">
        <f>[1]data!$D$106</f>
        <v>0.17272484176882499</v>
      </c>
      <c r="C106" s="3">
        <f t="shared" si="23"/>
        <v>17.3</v>
      </c>
      <c r="D106" s="3">
        <f t="shared" si="24"/>
        <v>82.7</v>
      </c>
    </row>
    <row r="107" spans="1:4" x14ac:dyDescent="0.25">
      <c r="A107" t="str">
        <f>[1]data!$C$107</f>
        <v>of 45-69 year olds have 3 to 5 risk factors</v>
      </c>
      <c r="B107" s="1">
        <f>[1]data!$D$107</f>
        <v>0.38490777169469598</v>
      </c>
      <c r="C107" s="3">
        <f t="shared" si="23"/>
        <v>38.5</v>
      </c>
      <c r="D107" s="3">
        <f t="shared" si="24"/>
        <v>61.5</v>
      </c>
    </row>
    <row r="108" spans="1:4" x14ac:dyDescent="0.25">
      <c r="A108" s="56" t="str">
        <f>[1]data!$C$108</f>
        <v>* current daily smoking, &lt;5 servings of fruit or vegetables per day, not meeting WHO recommendations for physical activity, BMI≥25, raised blood pressure (SBP ≥ 140 and/or DBP ≥ 90 mmHg or currently on medication)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96C-2342-498A-917B-91C3E212D586}">
  <sheetPr codeName="Sheet2">
    <pageSetUpPr fitToPage="1"/>
  </sheetPr>
  <dimension ref="A1:L37"/>
  <sheetViews>
    <sheetView showGridLines="0" zoomScale="130" zoomScaleNormal="130" workbookViewId="0">
      <selection activeCell="E2" sqref="E2"/>
    </sheetView>
  </sheetViews>
  <sheetFormatPr defaultColWidth="0" defaultRowHeight="15" zeroHeight="1" x14ac:dyDescent="0.25"/>
  <cols>
    <col min="1" max="1" width="3.42578125" customWidth="1"/>
    <col min="2" max="2" width="5.140625" customWidth="1"/>
    <col min="3" max="7" width="8.85546875" customWidth="1"/>
    <col min="8" max="11" width="7.7109375" customWidth="1"/>
    <col min="12" max="12" width="5.85546875" customWidth="1"/>
    <col min="13" max="16384" width="8.85546875" hidden="1"/>
  </cols>
  <sheetData>
    <row r="1" spans="1:12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x14ac:dyDescent="0.65">
      <c r="A2" s="7"/>
      <c r="B2" s="32" t="str">
        <f>data!A2</f>
        <v>Tobacco Use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59">
        <f>data!B3</f>
        <v>9.5868345383227305E-2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7"/>
      <c r="B9" s="59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66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3.25" x14ac:dyDescent="0.35">
      <c r="A27" s="7"/>
      <c r="B27" s="7"/>
      <c r="C27" s="7"/>
      <c r="D27" s="7"/>
      <c r="E27" s="7"/>
      <c r="F27" s="7"/>
      <c r="G27" s="7"/>
      <c r="H27" s="8"/>
      <c r="I27" s="9"/>
      <c r="J27" s="8"/>
      <c r="K27" s="8"/>
      <c r="L27" s="7"/>
    </row>
    <row r="28" spans="1:12" ht="14.45" customHeight="1" x14ac:dyDescent="0.25">
      <c r="A28" s="7"/>
      <c r="B28" s="7"/>
      <c r="C28" s="7"/>
      <c r="D28" s="7"/>
      <c r="E28" s="7"/>
      <c r="F28" s="7"/>
      <c r="G28" s="7"/>
      <c r="H28" s="60"/>
      <c r="I28" s="60"/>
      <c r="J28" s="58"/>
      <c r="K28" s="58"/>
      <c r="L28" s="10"/>
    </row>
    <row r="29" spans="1:12" x14ac:dyDescent="0.25">
      <c r="A29" s="7"/>
      <c r="B29" s="7"/>
      <c r="C29" s="7"/>
      <c r="D29" s="7"/>
      <c r="E29" s="7"/>
      <c r="F29" s="7"/>
      <c r="G29" s="7"/>
      <c r="H29" s="60"/>
      <c r="I29" s="60"/>
      <c r="J29" s="58"/>
      <c r="K29" s="58"/>
      <c r="L29" s="10"/>
    </row>
    <row r="30" spans="1:12" x14ac:dyDescent="0.25">
      <c r="A30" s="7"/>
      <c r="B30" s="7"/>
      <c r="C30" s="7"/>
      <c r="D30" s="7"/>
      <c r="E30" s="7"/>
      <c r="F30" s="7"/>
      <c r="G30" s="7"/>
      <c r="H30" s="60"/>
      <c r="I30" s="60"/>
      <c r="J30" s="58"/>
      <c r="K30" s="58"/>
      <c r="L30" s="10"/>
    </row>
    <row r="31" spans="1:12" ht="15" customHeight="1" x14ac:dyDescent="0.25">
      <c r="A31" s="7"/>
      <c r="B31" s="7"/>
      <c r="C31" s="7"/>
      <c r="D31" s="35"/>
      <c r="E31" s="35"/>
      <c r="F31" s="34"/>
      <c r="G31" s="34"/>
      <c r="H31" s="7"/>
      <c r="I31" s="7"/>
      <c r="J31" s="7"/>
      <c r="K31" s="7"/>
      <c r="L31" s="7"/>
    </row>
    <row r="32" spans="1:12" ht="21.75" customHeight="1" x14ac:dyDescent="0.25">
      <c r="A32" s="7"/>
      <c r="B32" s="7"/>
      <c r="C32" s="7"/>
      <c r="D32" s="36">
        <f>data!B15</f>
        <v>1.6642277782832301E-3</v>
      </c>
      <c r="E32" s="7"/>
      <c r="F32" s="34"/>
      <c r="G32" s="34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11"/>
      <c r="F33" s="7"/>
      <c r="G33" s="7"/>
      <c r="H33" s="7"/>
      <c r="I33" s="7"/>
      <c r="J33" s="7"/>
      <c r="K33" s="7"/>
      <c r="L33" s="7"/>
    </row>
    <row r="34" spans="1:12" ht="23.25" x14ac:dyDescent="0.25">
      <c r="A34" s="7"/>
      <c r="B34" s="61"/>
      <c r="C34" s="61"/>
      <c r="D34" s="60"/>
      <c r="E34" s="60"/>
      <c r="F34" s="60"/>
      <c r="G34" s="60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60"/>
      <c r="E35" s="60"/>
      <c r="F35" s="60"/>
      <c r="G35" s="60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60"/>
      <c r="E36" s="60"/>
      <c r="F36" s="60"/>
      <c r="G36" s="60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60"/>
      <c r="E37" s="60"/>
      <c r="F37" s="60"/>
      <c r="G37" s="60"/>
      <c r="H37" s="7"/>
      <c r="I37" s="7"/>
      <c r="J37" s="7"/>
      <c r="K37" s="7"/>
      <c r="L37" s="7"/>
    </row>
  </sheetData>
  <mergeCells count="6">
    <mergeCell ref="J28:K30"/>
    <mergeCell ref="B8:B9"/>
    <mergeCell ref="D34:E37"/>
    <mergeCell ref="F34:G37"/>
    <mergeCell ref="B34:C34"/>
    <mergeCell ref="H28:I30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E95B-6FD8-A549-A5CB-1B61A99DED4A}">
  <dimension ref="A1:K30"/>
  <sheetViews>
    <sheetView zoomScale="145" zoomScaleNormal="145" workbookViewId="0"/>
  </sheetViews>
  <sheetFormatPr defaultColWidth="0" defaultRowHeight="15" zeroHeight="1" x14ac:dyDescent="0.25"/>
  <cols>
    <col min="1" max="1" width="1.85546875" customWidth="1"/>
    <col min="2" max="2" width="5.140625" customWidth="1"/>
    <col min="3" max="7" width="8.85546875" customWidth="1"/>
    <col min="8" max="8" width="7.7109375" customWidth="1"/>
    <col min="9" max="9" width="2.85546875" customWidth="1"/>
    <col min="10" max="10" width="0.85546875" customWidth="1"/>
    <col min="11" max="11" width="0" hidden="1" customWidth="1"/>
    <col min="12" max="16384" width="8.85546875" hidden="1"/>
  </cols>
  <sheetData>
    <row r="1" spans="1:10" ht="9.7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30" x14ac:dyDescent="0.65">
      <c r="A2" s="12"/>
      <c r="B2" s="37" t="str">
        <f>data!A18</f>
        <v>Alcohol Use</v>
      </c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2"/>
      <c r="B8" s="62"/>
      <c r="C8" s="63"/>
      <c r="D8" s="63"/>
      <c r="E8" s="63"/>
      <c r="F8" s="63"/>
      <c r="G8" s="12"/>
      <c r="H8" s="12"/>
      <c r="I8" s="12"/>
      <c r="J8" s="12"/>
    </row>
    <row r="9" spans="1:10" x14ac:dyDescent="0.25">
      <c r="A9" s="12"/>
      <c r="B9" s="62"/>
      <c r="C9" s="63"/>
      <c r="D9" s="63"/>
      <c r="E9" s="63"/>
      <c r="F9" s="63"/>
      <c r="G9" s="12"/>
      <c r="H9" s="12"/>
      <c r="I9" s="12"/>
      <c r="J9" s="12"/>
    </row>
    <row r="10" spans="1:10" x14ac:dyDescent="0.25">
      <c r="A10" s="12"/>
      <c r="B10" s="64"/>
      <c r="C10" s="65"/>
      <c r="D10" s="12"/>
      <c r="E10" s="12"/>
      <c r="F10" s="12"/>
      <c r="G10" s="12"/>
      <c r="H10" s="12"/>
      <c r="I10" s="12"/>
      <c r="J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1" x14ac:dyDescent="0.25">
      <c r="A17" s="12"/>
      <c r="B17" s="62"/>
      <c r="C17" s="66"/>
      <c r="D17" s="66"/>
      <c r="E17" s="66"/>
      <c r="F17" s="66"/>
      <c r="G17" s="12"/>
      <c r="H17" s="12"/>
      <c r="I17" s="12"/>
      <c r="J17" s="12"/>
    </row>
    <row r="18" spans="1:11" x14ac:dyDescent="0.25">
      <c r="A18" s="12"/>
      <c r="B18" s="62"/>
      <c r="C18" s="66"/>
      <c r="D18" s="66"/>
      <c r="E18" s="66"/>
      <c r="F18" s="66"/>
      <c r="G18" s="12"/>
      <c r="H18" s="12"/>
      <c r="I18" s="12"/>
      <c r="J18" s="12"/>
    </row>
    <row r="19" spans="1:1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1" x14ac:dyDescent="0.25">
      <c r="A20" s="12"/>
      <c r="B20" s="12"/>
      <c r="C20" s="30"/>
      <c r="D20" s="12"/>
      <c r="E20" s="12"/>
      <c r="F20" s="12"/>
      <c r="G20" s="12"/>
      <c r="H20" s="12"/>
      <c r="I20" s="12"/>
      <c r="J20" s="12"/>
    </row>
    <row r="21" spans="1:1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1" x14ac:dyDescent="0.25">
      <c r="A24" s="12"/>
      <c r="B24" s="12"/>
      <c r="C24" s="12"/>
      <c r="D24" s="12"/>
      <c r="E24" s="12"/>
      <c r="F24" s="13"/>
      <c r="G24" s="12"/>
      <c r="H24" s="12"/>
      <c r="I24" s="12"/>
      <c r="J24" s="12"/>
    </row>
    <row r="25" spans="1:11" hidden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15" hidden="1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1" ht="1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 hidden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hidden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idden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</sheetData>
  <mergeCells count="5">
    <mergeCell ref="B8:B9"/>
    <mergeCell ref="C8:F9"/>
    <mergeCell ref="B10:C10"/>
    <mergeCell ref="B17:B18"/>
    <mergeCell ref="C17:F1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4E8-5E1B-DD49-A99C-21D242536443}">
  <dimension ref="A1:N19"/>
  <sheetViews>
    <sheetView topLeftCell="A7" zoomScale="145" zoomScaleNormal="145" workbookViewId="0">
      <selection activeCell="E6" sqref="E6"/>
    </sheetView>
  </sheetViews>
  <sheetFormatPr defaultColWidth="0" defaultRowHeight="19.5" zeroHeight="1" x14ac:dyDescent="0.45"/>
  <cols>
    <col min="1" max="1" width="3.42578125" style="41" customWidth="1"/>
    <col min="2" max="2" width="5.140625" style="41" customWidth="1"/>
    <col min="3" max="7" width="8.85546875" style="41" customWidth="1"/>
    <col min="8" max="8" width="7.7109375" style="41" customWidth="1"/>
    <col min="9" max="9" width="5.42578125" style="41" customWidth="1"/>
    <col min="10" max="10" width="8.85546875" style="41" hidden="1" customWidth="1"/>
    <col min="11" max="14" width="0" style="41" hidden="1" customWidth="1"/>
    <col min="15" max="16384" width="10.7109375" style="41" hidden="1"/>
  </cols>
  <sheetData>
    <row r="1" spans="1:9" ht="9.75" customHeight="1" x14ac:dyDescent="0.45">
      <c r="A1" s="40"/>
      <c r="B1" s="40"/>
      <c r="C1" s="40"/>
      <c r="D1" s="40"/>
      <c r="E1" s="40"/>
      <c r="F1" s="40"/>
      <c r="G1" s="40"/>
      <c r="H1" s="40"/>
      <c r="I1" s="40"/>
    </row>
    <row r="2" spans="1:9" ht="30" x14ac:dyDescent="0.65">
      <c r="A2" s="40"/>
      <c r="B2" s="39" t="str">
        <f>data!A31</f>
        <v>Diet</v>
      </c>
      <c r="C2" s="40"/>
      <c r="D2" s="40"/>
      <c r="E2" s="40"/>
      <c r="F2" s="40"/>
      <c r="G2" s="40"/>
      <c r="H2" s="40"/>
      <c r="I2" s="40"/>
    </row>
    <row r="3" spans="1:9" x14ac:dyDescent="0.45">
      <c r="A3" s="40"/>
      <c r="B3" s="40"/>
      <c r="C3" s="40"/>
      <c r="D3" s="40"/>
      <c r="E3" s="40"/>
      <c r="F3" s="40"/>
      <c r="G3" s="40"/>
      <c r="H3" s="40"/>
      <c r="I3" s="40"/>
    </row>
    <row r="4" spans="1:9" x14ac:dyDescent="0.45">
      <c r="A4" s="40"/>
      <c r="B4" s="40"/>
      <c r="C4" s="40"/>
      <c r="D4" s="40"/>
      <c r="E4" s="40"/>
      <c r="F4" s="40"/>
      <c r="G4" s="40"/>
      <c r="H4" s="40"/>
      <c r="I4" s="40"/>
    </row>
    <row r="5" spans="1:9" x14ac:dyDescent="0.45">
      <c r="A5" s="40"/>
      <c r="B5" s="67" t="str">
        <f>data!B33 &amp; data!A32</f>
        <v>3.1 days</v>
      </c>
      <c r="C5" s="68"/>
      <c r="D5" s="40"/>
      <c r="E5" s="40"/>
      <c r="F5" s="40"/>
      <c r="G5" s="40"/>
      <c r="H5" s="40"/>
      <c r="I5" s="40"/>
    </row>
    <row r="6" spans="1:9" x14ac:dyDescent="0.45">
      <c r="A6" s="40"/>
      <c r="B6" s="40"/>
      <c r="C6" s="40"/>
      <c r="D6" s="40"/>
      <c r="E6" s="42"/>
      <c r="F6" s="42"/>
      <c r="G6" s="40"/>
      <c r="H6" s="40"/>
      <c r="I6" s="40"/>
    </row>
    <row r="7" spans="1:9" ht="20.25" x14ac:dyDescent="0.45">
      <c r="A7" s="40"/>
      <c r="B7" s="43"/>
      <c r="C7" s="42"/>
      <c r="D7" s="42"/>
      <c r="E7" s="42"/>
      <c r="F7" s="42"/>
      <c r="G7" s="40"/>
      <c r="H7" s="40"/>
      <c r="I7" s="40"/>
    </row>
    <row r="8" spans="1:9" ht="20.25" x14ac:dyDescent="0.45">
      <c r="A8" s="40"/>
      <c r="B8" s="43"/>
      <c r="C8" s="42"/>
      <c r="D8" s="42"/>
      <c r="E8" s="42"/>
      <c r="F8" s="42"/>
      <c r="G8" s="40"/>
      <c r="H8" s="40"/>
      <c r="I8" s="40"/>
    </row>
    <row r="9" spans="1:9" x14ac:dyDescent="0.45">
      <c r="A9" s="40"/>
      <c r="B9" s="40"/>
      <c r="C9" s="40"/>
      <c r="D9" s="40"/>
      <c r="E9" s="40"/>
      <c r="F9" s="40"/>
      <c r="G9" s="40"/>
      <c r="H9" s="40"/>
      <c r="I9" s="40"/>
    </row>
    <row r="10" spans="1:9" x14ac:dyDescent="0.45">
      <c r="A10" s="40"/>
      <c r="B10" s="40"/>
      <c r="C10" s="40"/>
      <c r="D10" s="40"/>
      <c r="E10" s="40"/>
      <c r="F10" s="40"/>
      <c r="G10" s="40"/>
      <c r="H10" s="40"/>
      <c r="I10" s="40"/>
    </row>
    <row r="11" spans="1:9" x14ac:dyDescent="0.45">
      <c r="A11" s="40"/>
      <c r="B11" s="67" t="str">
        <f>data!B34 &amp; data!A32</f>
        <v>3.8 days</v>
      </c>
      <c r="C11" s="68"/>
      <c r="D11" s="40"/>
      <c r="E11" s="40"/>
      <c r="F11" s="40"/>
      <c r="G11" s="40"/>
      <c r="H11" s="40"/>
      <c r="I11" s="40"/>
    </row>
    <row r="12" spans="1:9" x14ac:dyDescent="0.45">
      <c r="A12" s="40"/>
      <c r="B12" s="40"/>
      <c r="C12" s="40"/>
      <c r="D12" s="42"/>
      <c r="E12" s="42"/>
      <c r="F12" s="42"/>
      <c r="G12" s="40"/>
      <c r="H12" s="40"/>
      <c r="I12" s="40"/>
    </row>
    <row r="13" spans="1:9" ht="20.25" x14ac:dyDescent="0.45">
      <c r="A13" s="40"/>
      <c r="B13" s="43"/>
      <c r="C13" s="42"/>
      <c r="D13" s="42"/>
      <c r="E13" s="42"/>
      <c r="F13" s="42"/>
      <c r="G13" s="40"/>
      <c r="H13" s="40"/>
      <c r="I13" s="40"/>
    </row>
    <row r="14" spans="1:9" x14ac:dyDescent="0.45">
      <c r="A14" s="40"/>
      <c r="B14" s="40"/>
      <c r="C14" s="40"/>
      <c r="D14" s="40"/>
      <c r="E14" s="40"/>
      <c r="F14" s="40"/>
      <c r="G14" s="40"/>
      <c r="H14" s="40"/>
      <c r="I14" s="40"/>
    </row>
    <row r="15" spans="1:9" x14ac:dyDescent="0.45">
      <c r="A15" s="40"/>
      <c r="B15" s="40"/>
      <c r="C15" s="40"/>
      <c r="D15" s="40"/>
      <c r="E15" s="40"/>
      <c r="F15" s="40"/>
      <c r="G15" s="40"/>
      <c r="H15" s="40"/>
      <c r="I15" s="40"/>
    </row>
    <row r="16" spans="1:9" x14ac:dyDescent="0.45">
      <c r="A16" s="40"/>
      <c r="B16" s="40"/>
      <c r="C16" s="40"/>
      <c r="D16" s="40"/>
      <c r="E16" s="40"/>
      <c r="F16" s="40"/>
      <c r="G16" s="40"/>
      <c r="H16" s="40"/>
      <c r="I16" s="40"/>
    </row>
    <row r="17" spans="1:14" x14ac:dyDescent="0.45">
      <c r="A17" s="40"/>
      <c r="B17" s="40"/>
      <c r="C17" s="40"/>
      <c r="D17" s="40"/>
      <c r="E17" s="40"/>
      <c r="F17" s="40"/>
      <c r="G17" s="40"/>
      <c r="H17" s="40"/>
      <c r="I17" s="40"/>
    </row>
    <row r="18" spans="1:14" ht="20.25" x14ac:dyDescent="0.45">
      <c r="A18" s="40"/>
      <c r="B18" s="43"/>
      <c r="C18" s="42"/>
      <c r="D18" s="42"/>
      <c r="E18" s="42"/>
      <c r="F18" s="42"/>
      <c r="G18" s="40"/>
      <c r="H18" s="40"/>
      <c r="I18" s="40"/>
      <c r="N18" s="44"/>
    </row>
    <row r="19" spans="1:14" x14ac:dyDescent="0.45">
      <c r="A19" s="40"/>
      <c r="B19" s="45"/>
      <c r="C19" s="40"/>
      <c r="D19" s="40"/>
      <c r="E19" s="40"/>
      <c r="F19" s="40"/>
      <c r="G19" s="40"/>
      <c r="H19" s="40"/>
      <c r="I19" s="40"/>
    </row>
  </sheetData>
  <mergeCells count="2">
    <mergeCell ref="B11:C11"/>
    <mergeCell ref="B5: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F701-2C73-E047-A2C4-F4F03519054D}">
  <dimension ref="A1:I37"/>
  <sheetViews>
    <sheetView topLeftCell="A11" zoomScale="130" zoomScaleNormal="130" workbookViewId="0">
      <selection activeCell="H33" sqref="H33"/>
    </sheetView>
  </sheetViews>
  <sheetFormatPr defaultColWidth="0" defaultRowHeight="15" zeroHeight="1" x14ac:dyDescent="0.25"/>
  <cols>
    <col min="1" max="1" width="3.42578125" customWidth="1"/>
    <col min="2" max="2" width="5.140625" customWidth="1"/>
    <col min="3" max="8" width="10.7109375" customWidth="1"/>
    <col min="9" max="9" width="10.85546875" customWidth="1"/>
    <col min="10" max="16384" width="10.7109375" hidden="1"/>
  </cols>
  <sheetData>
    <row r="1" spans="1:9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ht="30" x14ac:dyDescent="0.65">
      <c r="A2" s="17"/>
      <c r="B2" s="46" t="str">
        <f>data!A40</f>
        <v>Physical Activity</v>
      </c>
      <c r="C2" s="17"/>
      <c r="D2" s="17"/>
      <c r="E2" s="17"/>
      <c r="F2" s="17"/>
      <c r="G2" s="17"/>
      <c r="H2" s="17"/>
      <c r="I2" s="17"/>
    </row>
    <row r="3" spans="1:9" x14ac:dyDescent="0.2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7"/>
      <c r="B4" s="17"/>
      <c r="C4" s="17"/>
      <c r="D4" s="17"/>
      <c r="E4" s="17"/>
      <c r="F4" s="17"/>
      <c r="G4" s="17"/>
      <c r="H4" s="17"/>
      <c r="I4" s="17"/>
    </row>
    <row r="5" spans="1:9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9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9" ht="15.75" x14ac:dyDescent="0.25">
      <c r="A7" s="17"/>
      <c r="B7" s="18"/>
      <c r="C7" s="17"/>
      <c r="D7" s="17"/>
      <c r="E7" s="17"/>
      <c r="F7" s="17"/>
      <c r="G7" s="17"/>
      <c r="H7" s="17"/>
      <c r="I7" s="17"/>
    </row>
    <row r="8" spans="1:9" x14ac:dyDescent="0.25">
      <c r="A8" s="17"/>
      <c r="B8" s="20"/>
      <c r="C8" s="17"/>
      <c r="D8" s="17"/>
      <c r="E8" s="17"/>
      <c r="F8" s="17"/>
      <c r="G8" s="17"/>
      <c r="H8" s="17"/>
      <c r="I8" s="17"/>
    </row>
    <row r="9" spans="1:9" x14ac:dyDescent="0.25">
      <c r="A9" s="17"/>
      <c r="B9" s="17"/>
      <c r="C9" s="17"/>
      <c r="D9" s="17"/>
      <c r="E9" s="17"/>
      <c r="F9" s="17"/>
      <c r="G9" s="17"/>
      <c r="H9" s="17"/>
      <c r="I9" s="17"/>
    </row>
    <row r="10" spans="1:9" x14ac:dyDescent="0.25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5.75" x14ac:dyDescent="0.25">
      <c r="A11" s="17"/>
      <c r="B11" s="18"/>
      <c r="C11" s="17"/>
      <c r="D11" s="17"/>
      <c r="E11" s="17"/>
      <c r="F11" s="17"/>
      <c r="G11" s="17"/>
      <c r="H11" s="17"/>
      <c r="I11" s="17"/>
    </row>
    <row r="12" spans="1:9" x14ac:dyDescent="0.25">
      <c r="A12" s="17"/>
      <c r="B12" s="17"/>
      <c r="C12" s="17"/>
      <c r="D12" s="17"/>
      <c r="E12" s="17"/>
      <c r="F12" s="17"/>
      <c r="G12" s="17"/>
      <c r="H12" s="17"/>
      <c r="I12" s="17"/>
    </row>
    <row r="13" spans="1:9" x14ac:dyDescent="0.25">
      <c r="A13" s="17"/>
      <c r="B13" s="17"/>
      <c r="C13" s="17"/>
      <c r="D13" s="17"/>
      <c r="E13" s="17"/>
      <c r="F13" s="17"/>
      <c r="G13" s="17"/>
      <c r="H13" s="17"/>
      <c r="I13" s="17"/>
    </row>
    <row r="14" spans="1:9" x14ac:dyDescent="0.25">
      <c r="A14" s="17"/>
      <c r="B14" s="17"/>
      <c r="C14" s="17"/>
      <c r="D14" s="17"/>
      <c r="E14" s="17"/>
      <c r="F14" s="17"/>
      <c r="G14" s="17"/>
      <c r="H14" s="17"/>
      <c r="I14" s="17"/>
    </row>
    <row r="15" spans="1:9" x14ac:dyDescent="0.25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5.75" x14ac:dyDescent="0.25">
      <c r="A16" s="17"/>
      <c r="B16" s="18"/>
      <c r="C16" s="17"/>
      <c r="D16" s="17"/>
      <c r="E16" s="17"/>
      <c r="F16" s="17"/>
      <c r="G16" s="17"/>
      <c r="H16" s="17"/>
      <c r="I16" s="17"/>
    </row>
    <row r="17" spans="1:9" x14ac:dyDescent="0.25">
      <c r="A17" s="17"/>
      <c r="B17" s="19"/>
      <c r="C17" s="17"/>
      <c r="D17" s="17"/>
      <c r="E17" s="17"/>
      <c r="F17" s="17"/>
      <c r="G17" s="17"/>
      <c r="H17" s="17"/>
      <c r="I17" s="17"/>
    </row>
    <row r="18" spans="1:9" x14ac:dyDescent="0.25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0" spans="1:9" x14ac:dyDescent="0.25">
      <c r="A20" s="17"/>
      <c r="B20" s="17"/>
      <c r="C20" s="17"/>
      <c r="D20" s="17"/>
      <c r="E20" s="17"/>
      <c r="F20" s="17"/>
      <c r="G20" s="17"/>
      <c r="H20" s="17"/>
      <c r="I20" s="17"/>
    </row>
    <row r="21" spans="1:9" x14ac:dyDescent="0.25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5.75" x14ac:dyDescent="0.25">
      <c r="A22" s="17"/>
      <c r="B22" s="18"/>
      <c r="C22" s="17"/>
      <c r="D22" s="17"/>
      <c r="E22" s="17"/>
      <c r="F22" s="17"/>
      <c r="G22" s="17"/>
      <c r="H22" s="17"/>
      <c r="I22" s="17"/>
    </row>
    <row r="23" spans="1:9" x14ac:dyDescent="0.25">
      <c r="A23" s="17"/>
      <c r="B23" s="19"/>
      <c r="C23" s="17"/>
      <c r="D23" s="17"/>
      <c r="E23" s="17"/>
      <c r="F23" s="17"/>
      <c r="G23" s="17"/>
      <c r="H23" s="17"/>
      <c r="I23" s="17"/>
    </row>
    <row r="24" spans="1:9" x14ac:dyDescent="0.25">
      <c r="A24" s="17"/>
      <c r="B24" s="17"/>
      <c r="C24" s="17"/>
      <c r="D24" s="17"/>
      <c r="E24" s="17"/>
      <c r="F24" s="17"/>
      <c r="G24" s="17"/>
      <c r="H24" s="17"/>
      <c r="I24" s="17"/>
    </row>
    <row r="25" spans="1:9" x14ac:dyDescent="0.25">
      <c r="A25" s="17"/>
      <c r="B25" s="17"/>
      <c r="C25" s="17"/>
      <c r="D25" s="17"/>
      <c r="E25" s="17"/>
      <c r="F25" s="17"/>
      <c r="G25" s="17"/>
      <c r="H25" s="17"/>
      <c r="I25" s="17"/>
    </row>
    <row r="26" spans="1:9" x14ac:dyDescent="0.25">
      <c r="A26" s="17"/>
      <c r="B26" s="17"/>
      <c r="C26" s="17"/>
      <c r="D26" s="17"/>
      <c r="E26" s="17"/>
      <c r="F26" s="17"/>
      <c r="G26" s="17"/>
      <c r="H26" s="17"/>
      <c r="I26" s="17"/>
    </row>
    <row r="27" spans="1:9" x14ac:dyDescent="0.25">
      <c r="A27" s="17"/>
      <c r="B27" s="17"/>
      <c r="C27" s="17"/>
      <c r="D27" s="17"/>
      <c r="E27" s="17"/>
      <c r="F27" s="17"/>
      <c r="G27" s="17"/>
      <c r="H27" s="17"/>
      <c r="I27" s="17"/>
    </row>
    <row r="28" spans="1:9" x14ac:dyDescent="0.25">
      <c r="A28" s="17"/>
      <c r="B28" s="19"/>
      <c r="C28" s="17"/>
      <c r="D28" s="17"/>
      <c r="E28" s="17"/>
      <c r="F28" s="17"/>
      <c r="G28" s="17"/>
      <c r="H28" s="17"/>
      <c r="I28" s="17"/>
    </row>
    <row r="29" spans="1:9" x14ac:dyDescent="0.25">
      <c r="A29" s="17"/>
      <c r="B29" s="17"/>
      <c r="C29" s="17"/>
      <c r="D29" s="17"/>
      <c r="E29" s="17"/>
      <c r="F29" s="17"/>
      <c r="G29" s="17"/>
      <c r="H29" s="17"/>
      <c r="I29" s="17"/>
    </row>
    <row r="30" spans="1:9" x14ac:dyDescent="0.25">
      <c r="A30" s="17"/>
      <c r="B30" s="17"/>
      <c r="C30" s="17"/>
      <c r="D30" s="17"/>
      <c r="E30" s="17"/>
      <c r="F30" s="17"/>
      <c r="G30" s="17"/>
      <c r="H30" s="17"/>
      <c r="I30" s="17"/>
    </row>
    <row r="31" spans="1:9" x14ac:dyDescent="0.25">
      <c r="A31" s="17"/>
      <c r="B31" s="17"/>
      <c r="C31" s="17"/>
      <c r="D31" s="17"/>
      <c r="E31" s="17"/>
      <c r="F31" s="17"/>
      <c r="G31" s="17"/>
      <c r="H31" s="17"/>
      <c r="I31" s="17"/>
    </row>
    <row r="32" spans="1:9" x14ac:dyDescent="0.25">
      <c r="A32" s="17"/>
      <c r="B32" s="17"/>
      <c r="C32" s="17"/>
      <c r="D32" s="17"/>
      <c r="E32" s="17"/>
      <c r="F32" s="17"/>
      <c r="G32" s="17"/>
      <c r="H32" s="17"/>
      <c r="I32" s="17"/>
    </row>
    <row r="33" spans="1:9" x14ac:dyDescent="0.25">
      <c r="A33" s="17"/>
      <c r="B33" s="17"/>
      <c r="C33" s="17"/>
      <c r="D33" s="17"/>
      <c r="E33" s="17"/>
      <c r="F33" s="17"/>
      <c r="G33" s="17"/>
      <c r="H33" s="17"/>
      <c r="I33" s="17"/>
    </row>
    <row r="34" spans="1:9" x14ac:dyDescent="0.25">
      <c r="A34" s="17"/>
      <c r="B34" s="17"/>
      <c r="C34" s="17"/>
      <c r="D34" s="17"/>
      <c r="E34" s="17"/>
      <c r="F34" s="17"/>
      <c r="G34" s="17"/>
      <c r="H34" s="17"/>
      <c r="I34" s="17"/>
    </row>
    <row r="35" spans="1:9" x14ac:dyDescent="0.25">
      <c r="A35" s="17"/>
      <c r="B35" s="17"/>
      <c r="C35" s="17"/>
      <c r="D35" s="17"/>
      <c r="E35" s="17"/>
      <c r="F35" s="17"/>
      <c r="G35" s="17"/>
      <c r="H35" s="17"/>
      <c r="I35" s="17"/>
    </row>
    <row r="36" spans="1:9" x14ac:dyDescent="0.25">
      <c r="A36" s="17"/>
      <c r="B36" s="17"/>
      <c r="C36" s="17"/>
      <c r="D36" s="17"/>
      <c r="E36" s="17"/>
      <c r="F36" s="17"/>
      <c r="G36" s="17"/>
      <c r="H36" s="17"/>
      <c r="I36" s="17"/>
    </row>
    <row r="37" spans="1:9" x14ac:dyDescent="0.25">
      <c r="A37" s="17"/>
      <c r="B37" s="17"/>
      <c r="C37" s="17"/>
      <c r="D37" s="17"/>
      <c r="E37" s="17"/>
      <c r="F37" s="17"/>
      <c r="G37" s="17"/>
      <c r="H37" s="17"/>
      <c r="I37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4EE0-3CA5-0A4A-9C57-FBB4D4CB540D}">
  <dimension ref="A1:H34"/>
  <sheetViews>
    <sheetView topLeftCell="A6" zoomScale="115" zoomScaleNormal="115" workbookViewId="0">
      <selection activeCell="A35" sqref="A35:XFD1048576"/>
    </sheetView>
  </sheetViews>
  <sheetFormatPr defaultColWidth="0" defaultRowHeight="15" zeroHeight="1" x14ac:dyDescent="0.25"/>
  <cols>
    <col min="1" max="7" width="10.7109375" customWidth="1"/>
    <col min="8" max="8" width="3.7109375" customWidth="1"/>
    <col min="9" max="16384" width="10.7109375" hidden="1"/>
  </cols>
  <sheetData>
    <row r="1" spans="1:8" s="31" customFormat="1" x14ac:dyDescent="0.25">
      <c r="A1" s="21"/>
      <c r="B1" s="21"/>
      <c r="C1" s="21"/>
      <c r="D1" s="21"/>
      <c r="E1" s="21"/>
      <c r="F1" s="21"/>
      <c r="G1" s="21"/>
      <c r="H1" s="21"/>
    </row>
    <row r="2" spans="1:8" ht="30" x14ac:dyDescent="0.65">
      <c r="A2" s="47" t="str">
        <f>data!A55</f>
        <v>Body Mass Index</v>
      </c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/>
      <c r="B13" s="21"/>
      <c r="C13" s="21"/>
      <c r="D13" s="21"/>
      <c r="E13" s="21"/>
      <c r="F13" s="21"/>
      <c r="G13" s="21"/>
      <c r="H13" s="21"/>
    </row>
    <row r="14" spans="1:8" x14ac:dyDescent="0.25">
      <c r="A14" s="21"/>
      <c r="B14" s="21"/>
      <c r="C14" s="21"/>
      <c r="D14" s="21"/>
      <c r="E14" s="21"/>
      <c r="F14" s="21"/>
      <c r="G14" s="21"/>
      <c r="H14" s="21"/>
    </row>
    <row r="15" spans="1:8" x14ac:dyDescent="0.25">
      <c r="A15" s="21"/>
      <c r="B15" s="21"/>
      <c r="C15" s="21"/>
      <c r="D15" s="21"/>
      <c r="E15" s="21"/>
      <c r="F15" s="21"/>
      <c r="G15" s="21"/>
      <c r="H15" s="21"/>
    </row>
    <row r="16" spans="1:8" x14ac:dyDescent="0.25">
      <c r="A16" s="21"/>
      <c r="B16" s="21"/>
      <c r="C16" s="21"/>
      <c r="D16" s="21"/>
      <c r="E16" s="21"/>
      <c r="F16" s="21"/>
      <c r="G16" s="21"/>
      <c r="H16" s="21"/>
    </row>
    <row r="17" spans="1:8" x14ac:dyDescent="0.25">
      <c r="A17" s="21"/>
      <c r="B17" s="21"/>
      <c r="C17" s="21"/>
      <c r="D17" s="21"/>
      <c r="E17" s="21"/>
      <c r="F17" s="21"/>
      <c r="G17" s="21"/>
      <c r="H17" s="21"/>
    </row>
    <row r="18" spans="1:8" x14ac:dyDescent="0.25">
      <c r="A18" s="21"/>
      <c r="B18" s="21"/>
      <c r="C18" s="21"/>
      <c r="D18" s="21"/>
      <c r="E18" s="21"/>
      <c r="F18" s="21"/>
      <c r="G18" s="21"/>
      <c r="H18" s="21"/>
    </row>
    <row r="19" spans="1:8" x14ac:dyDescent="0.25">
      <c r="A19" s="21"/>
      <c r="B19" s="21"/>
      <c r="C19" s="21"/>
      <c r="D19" s="21"/>
      <c r="E19" s="21"/>
      <c r="F19" s="21"/>
      <c r="G19" s="21"/>
      <c r="H19" s="21"/>
    </row>
    <row r="20" spans="1:8" x14ac:dyDescent="0.25">
      <c r="A20" s="21"/>
      <c r="B20" s="21"/>
      <c r="C20" s="21"/>
      <c r="D20" s="21"/>
      <c r="E20" s="21"/>
      <c r="F20" s="21"/>
      <c r="G20" s="21"/>
      <c r="H20" s="21"/>
    </row>
    <row r="21" spans="1:8" x14ac:dyDescent="0.25">
      <c r="A21" s="21"/>
      <c r="B21" s="21"/>
      <c r="C21" s="21"/>
      <c r="D21" s="21"/>
      <c r="E21" s="21"/>
      <c r="F21" s="21"/>
      <c r="G21" s="21"/>
      <c r="H21" s="21"/>
    </row>
    <row r="22" spans="1:8" x14ac:dyDescent="0.25">
      <c r="A22" s="21"/>
      <c r="B22" s="21"/>
      <c r="C22" s="21"/>
      <c r="D22" s="21"/>
      <c r="E22" s="21"/>
      <c r="F22" s="21"/>
      <c r="G22" s="21"/>
      <c r="H22" s="21"/>
    </row>
    <row r="23" spans="1:8" x14ac:dyDescent="0.25">
      <c r="A23" s="21"/>
      <c r="B23" s="21"/>
      <c r="C23" s="21"/>
      <c r="D23" s="21"/>
      <c r="E23" s="21"/>
      <c r="F23" s="21"/>
      <c r="G23" s="21"/>
      <c r="H23" s="21"/>
    </row>
    <row r="24" spans="1:8" x14ac:dyDescent="0.25">
      <c r="A24" s="21"/>
      <c r="B24" s="21"/>
      <c r="C24" s="21"/>
      <c r="D24" s="21"/>
      <c r="E24" s="21"/>
      <c r="F24" s="21"/>
      <c r="G24" s="21"/>
      <c r="H24" s="21"/>
    </row>
    <row r="25" spans="1:8" x14ac:dyDescent="0.25">
      <c r="A25" s="21"/>
      <c r="B25" s="21"/>
      <c r="C25" s="21"/>
      <c r="D25" s="21"/>
      <c r="E25" s="21"/>
      <c r="F25" s="21"/>
      <c r="G25" s="21"/>
      <c r="H25" s="21"/>
    </row>
    <row r="26" spans="1:8" x14ac:dyDescent="0.25">
      <c r="A26" s="21"/>
      <c r="B26" s="21"/>
      <c r="C26" s="21"/>
      <c r="D26" s="21"/>
      <c r="E26" s="21"/>
      <c r="F26" s="21"/>
      <c r="G26" s="21"/>
      <c r="H26" s="21"/>
    </row>
    <row r="27" spans="1:8" x14ac:dyDescent="0.25">
      <c r="A27" s="21"/>
      <c r="B27" s="21"/>
      <c r="C27" s="21"/>
      <c r="D27" s="21"/>
      <c r="E27" s="21"/>
      <c r="F27" s="21"/>
      <c r="G27" s="21"/>
      <c r="H27" s="21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1"/>
      <c r="B30" s="21"/>
      <c r="C30" s="21"/>
      <c r="D30" s="21"/>
      <c r="E30" s="21"/>
      <c r="F30" s="21"/>
      <c r="G30" s="21"/>
      <c r="H30" s="21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  <row r="33" spans="1:8" x14ac:dyDescent="0.25">
      <c r="A33" s="21"/>
      <c r="B33" s="21"/>
      <c r="C33" s="21"/>
      <c r="D33" s="21"/>
      <c r="E33" s="21"/>
      <c r="F33" s="21"/>
      <c r="G33" s="21"/>
      <c r="H33" s="21"/>
    </row>
    <row r="34" spans="1:8" x14ac:dyDescent="0.25">
      <c r="A34" s="21"/>
      <c r="B34" s="21"/>
      <c r="C34" s="21"/>
      <c r="D34" s="21"/>
      <c r="E34" s="21"/>
      <c r="F34" s="21"/>
      <c r="G34" s="21"/>
      <c r="H34" s="2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6F25-5558-7C48-9BEF-BFEFD9887790}">
  <dimension ref="A1:H27"/>
  <sheetViews>
    <sheetView zoomScale="130" zoomScaleNormal="130" workbookViewId="0">
      <selection activeCell="F27" sqref="F27"/>
    </sheetView>
  </sheetViews>
  <sheetFormatPr defaultColWidth="0" defaultRowHeight="15" zeroHeight="1" x14ac:dyDescent="0.25"/>
  <cols>
    <col min="1" max="5" width="10.7109375" customWidth="1"/>
    <col min="6" max="6" width="5.85546875" customWidth="1"/>
    <col min="7" max="7" width="10.7109375" customWidth="1"/>
    <col min="8" max="8" width="8.28515625" customWidth="1"/>
    <col min="9" max="16384" width="10.7109375" hidden="1"/>
  </cols>
  <sheetData>
    <row r="1" spans="1:8" ht="30" x14ac:dyDescent="0.65">
      <c r="A1" s="48" t="str">
        <f>data!A65</f>
        <v>Raised Blood Pressure</v>
      </c>
      <c r="B1" s="22"/>
      <c r="C1" s="22"/>
      <c r="D1" s="22"/>
      <c r="E1" s="22"/>
      <c r="F1" s="22"/>
      <c r="G1" s="22"/>
      <c r="H1" s="22"/>
    </row>
    <row r="2" spans="1:8" x14ac:dyDescent="0.25">
      <c r="A2" s="22"/>
      <c r="B2" s="22"/>
      <c r="C2" s="22"/>
      <c r="D2" s="22"/>
      <c r="E2" s="22"/>
      <c r="F2" s="22"/>
      <c r="G2" s="22"/>
      <c r="H2" s="22"/>
    </row>
    <row r="3" spans="1:8" x14ac:dyDescent="0.25">
      <c r="A3" s="22"/>
      <c r="B3" s="22"/>
      <c r="C3" s="22"/>
      <c r="D3" s="22"/>
      <c r="E3" s="22"/>
      <c r="F3" s="22"/>
      <c r="G3" s="22"/>
      <c r="H3" s="22"/>
    </row>
    <row r="4" spans="1:8" x14ac:dyDescent="0.25">
      <c r="A4" s="22"/>
      <c r="B4" s="22"/>
      <c r="C4" s="22"/>
      <c r="D4" s="22"/>
      <c r="E4" s="22"/>
      <c r="F4" s="22"/>
      <c r="G4" s="22"/>
      <c r="H4" s="22"/>
    </row>
    <row r="5" spans="1:8" x14ac:dyDescent="0.25">
      <c r="A5" s="22"/>
      <c r="B5" s="22"/>
      <c r="C5" s="22"/>
      <c r="D5" s="22"/>
      <c r="E5" s="22"/>
      <c r="F5" s="22"/>
      <c r="G5" s="22"/>
      <c r="H5" s="22"/>
    </row>
    <row r="6" spans="1:8" x14ac:dyDescent="0.25">
      <c r="A6" s="22"/>
      <c r="B6" s="22"/>
      <c r="C6" s="22"/>
      <c r="D6" s="22"/>
      <c r="E6" s="22"/>
      <c r="F6" s="22"/>
      <c r="G6" s="22"/>
      <c r="H6" s="22"/>
    </row>
    <row r="7" spans="1:8" x14ac:dyDescent="0.25">
      <c r="A7" s="22"/>
      <c r="B7" s="22"/>
      <c r="C7" s="22"/>
      <c r="D7" s="22"/>
      <c r="E7" s="22"/>
      <c r="F7" s="22"/>
      <c r="G7" s="22"/>
      <c r="H7" s="22"/>
    </row>
    <row r="8" spans="1:8" x14ac:dyDescent="0.25">
      <c r="A8" s="22"/>
      <c r="B8" s="22"/>
      <c r="C8" s="22"/>
      <c r="D8" s="22"/>
      <c r="E8" s="22"/>
      <c r="F8" s="22"/>
      <c r="G8" s="22"/>
      <c r="H8" s="22"/>
    </row>
    <row r="9" spans="1:8" x14ac:dyDescent="0.25">
      <c r="A9" s="22"/>
      <c r="B9" s="22"/>
      <c r="C9" s="22"/>
      <c r="D9" s="22"/>
      <c r="E9" s="22"/>
      <c r="F9" s="22"/>
      <c r="G9" s="22"/>
      <c r="H9" s="22"/>
    </row>
    <row r="10" spans="1:8" s="31" customFormat="1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  <row r="14" spans="1:8" x14ac:dyDescent="0.25">
      <c r="A14" s="22"/>
      <c r="B14" s="22"/>
      <c r="C14" s="22"/>
      <c r="D14" s="22"/>
      <c r="E14" s="22"/>
      <c r="F14" s="22"/>
      <c r="G14" s="22"/>
      <c r="H14" s="22"/>
    </row>
    <row r="15" spans="1:8" x14ac:dyDescent="0.25">
      <c r="A15" s="22"/>
      <c r="B15" s="22"/>
      <c r="C15" s="22"/>
      <c r="D15" s="22"/>
      <c r="E15" s="22"/>
      <c r="F15" s="22"/>
      <c r="G15" s="22"/>
      <c r="H15" s="22"/>
    </row>
    <row r="16" spans="1:8" x14ac:dyDescent="0.25">
      <c r="A16" s="22"/>
      <c r="B16" s="22"/>
      <c r="C16" s="22"/>
      <c r="D16" s="22"/>
      <c r="E16" s="22"/>
      <c r="F16" s="22"/>
      <c r="G16" s="22"/>
      <c r="H16" s="22"/>
    </row>
    <row r="17" spans="1:8" x14ac:dyDescent="0.25">
      <c r="A17" s="22"/>
      <c r="B17" s="22"/>
      <c r="C17" s="22"/>
      <c r="D17" s="22"/>
      <c r="E17" s="22"/>
      <c r="F17" s="22"/>
      <c r="G17" s="22"/>
      <c r="H17" s="22"/>
    </row>
    <row r="18" spans="1:8" x14ac:dyDescent="0.25">
      <c r="A18" s="22"/>
      <c r="B18" s="22"/>
      <c r="C18" s="22"/>
      <c r="D18" s="22"/>
      <c r="E18" s="22"/>
      <c r="F18" s="22"/>
      <c r="G18" s="22"/>
      <c r="H18" s="22"/>
    </row>
    <row r="19" spans="1:8" x14ac:dyDescent="0.25">
      <c r="A19" s="22"/>
      <c r="B19" s="22"/>
      <c r="C19" s="22"/>
      <c r="D19" s="22"/>
      <c r="E19" s="22"/>
      <c r="F19" s="22"/>
      <c r="G19" s="22"/>
      <c r="H19" s="22"/>
    </row>
    <row r="20" spans="1:8" x14ac:dyDescent="0.25">
      <c r="A20" s="22"/>
      <c r="B20" s="22"/>
      <c r="C20" s="22"/>
      <c r="D20" s="22"/>
      <c r="E20" s="22"/>
      <c r="F20" s="22"/>
      <c r="G20" s="22"/>
      <c r="H20" s="22"/>
    </row>
    <row r="21" spans="1:8" x14ac:dyDescent="0.25">
      <c r="A21" s="22"/>
      <c r="B21" s="22"/>
      <c r="C21" s="22"/>
      <c r="D21" s="22"/>
      <c r="E21" s="22"/>
      <c r="F21" s="22"/>
      <c r="G21" s="22"/>
      <c r="H21" s="22"/>
    </row>
    <row r="22" spans="1:8" x14ac:dyDescent="0.25">
      <c r="A22" s="22"/>
      <c r="B22" s="22"/>
      <c r="C22" s="22"/>
      <c r="D22" s="22"/>
      <c r="E22" s="22"/>
      <c r="F22" s="22"/>
      <c r="G22" s="22"/>
      <c r="H22" s="22"/>
    </row>
    <row r="23" spans="1:8" x14ac:dyDescent="0.25">
      <c r="A23" s="22"/>
      <c r="B23" s="22"/>
      <c r="C23" s="22"/>
      <c r="D23" s="22"/>
      <c r="E23" s="22"/>
      <c r="F23" s="22"/>
      <c r="G23" s="22"/>
      <c r="H23" s="22"/>
    </row>
    <row r="24" spans="1:8" x14ac:dyDescent="0.25">
      <c r="A24" s="22"/>
      <c r="B24" s="22"/>
      <c r="C24" s="22"/>
      <c r="D24" s="22"/>
      <c r="E24" s="22"/>
      <c r="F24" s="22"/>
      <c r="G24" s="22"/>
      <c r="H24" s="22"/>
    </row>
    <row r="25" spans="1:8" x14ac:dyDescent="0.25">
      <c r="A25" s="22"/>
      <c r="B25" s="22"/>
      <c r="C25" s="22"/>
      <c r="D25" s="22"/>
      <c r="E25" s="22"/>
      <c r="F25" s="22"/>
      <c r="G25" s="22"/>
      <c r="H25" s="22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x14ac:dyDescent="0.25">
      <c r="A27" s="22"/>
      <c r="B27" s="22"/>
      <c r="C27" s="22"/>
      <c r="D27" s="22"/>
      <c r="E27" s="22"/>
      <c r="F27" s="22"/>
      <c r="G27" s="22"/>
      <c r="H27" s="2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1003-F89C-0E40-98C7-C3D471FC1994}">
  <dimension ref="A1:H28"/>
  <sheetViews>
    <sheetView zoomScale="110" zoomScaleNormal="110" workbookViewId="0">
      <selection activeCell="G28" sqref="G28"/>
    </sheetView>
  </sheetViews>
  <sheetFormatPr defaultColWidth="0" defaultRowHeight="15" zeroHeight="1" x14ac:dyDescent="0.25"/>
  <cols>
    <col min="1" max="8" width="10.7109375" customWidth="1"/>
    <col min="9" max="16384" width="9.140625" hidden="1"/>
  </cols>
  <sheetData>
    <row r="1" spans="1:8" s="33" customFormat="1" ht="6" customHeight="1" x14ac:dyDescent="0.25">
      <c r="A1" s="17"/>
      <c r="B1" s="17"/>
      <c r="C1" s="17"/>
      <c r="D1" s="17"/>
      <c r="E1" s="17"/>
      <c r="F1" s="17"/>
      <c r="G1" s="17"/>
      <c r="H1" s="17"/>
    </row>
    <row r="2" spans="1:8" ht="30" x14ac:dyDescent="0.65">
      <c r="A2" s="46" t="str">
        <f>data!A73</f>
        <v>Raised Blood Sugar</v>
      </c>
      <c r="B2" s="17"/>
      <c r="C2" s="17"/>
      <c r="D2" s="17"/>
      <c r="E2" s="17"/>
      <c r="F2" s="17"/>
      <c r="G2" s="17"/>
      <c r="H2" s="17"/>
    </row>
    <row r="3" spans="1:8" x14ac:dyDescent="0.25">
      <c r="A3" s="17"/>
      <c r="B3" s="17"/>
      <c r="C3" s="17"/>
      <c r="D3" s="17"/>
      <c r="E3" s="17"/>
      <c r="F3" s="17"/>
      <c r="G3" s="17"/>
      <c r="H3" s="17"/>
    </row>
    <row r="4" spans="1:8" x14ac:dyDescent="0.25">
      <c r="A4" s="17"/>
      <c r="B4" s="17"/>
      <c r="C4" s="17"/>
      <c r="D4" s="17"/>
      <c r="E4" s="17"/>
      <c r="F4" s="17"/>
      <c r="G4" s="17"/>
      <c r="H4" s="17"/>
    </row>
    <row r="5" spans="1:8" x14ac:dyDescent="0.25">
      <c r="A5" s="17"/>
      <c r="B5" s="17"/>
      <c r="C5" s="17"/>
      <c r="D5" s="17"/>
      <c r="E5" s="17"/>
      <c r="F5" s="17"/>
      <c r="G5" s="17"/>
      <c r="H5" s="17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7" spans="1:8" x14ac:dyDescent="0.25">
      <c r="A7" s="17"/>
      <c r="B7" s="17"/>
      <c r="C7" s="17"/>
      <c r="D7" s="17"/>
      <c r="E7" s="17"/>
      <c r="F7" s="17"/>
      <c r="G7" s="17"/>
      <c r="H7" s="17"/>
    </row>
    <row r="8" spans="1:8" x14ac:dyDescent="0.25">
      <c r="A8" s="17"/>
      <c r="B8" s="17"/>
      <c r="C8" s="17"/>
      <c r="D8" s="17"/>
      <c r="E8" s="17"/>
      <c r="F8" s="17"/>
      <c r="G8" s="17"/>
      <c r="H8" s="17"/>
    </row>
    <row r="9" spans="1:8" x14ac:dyDescent="0.25">
      <c r="A9" s="17"/>
      <c r="B9" s="17"/>
      <c r="C9" s="17"/>
      <c r="D9" s="17"/>
      <c r="E9" s="17"/>
      <c r="F9" s="17"/>
      <c r="G9" s="17"/>
      <c r="H9" s="17"/>
    </row>
    <row r="10" spans="1:8" x14ac:dyDescent="0.25">
      <c r="A10" s="17"/>
      <c r="B10" s="17"/>
      <c r="C10" s="17"/>
      <c r="D10" s="17"/>
      <c r="E10" s="17"/>
      <c r="F10" s="17"/>
      <c r="G10" s="17"/>
      <c r="H10" s="17"/>
    </row>
    <row r="11" spans="1:8" x14ac:dyDescent="0.25">
      <c r="A11" s="17"/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  <row r="26" spans="1:8" x14ac:dyDescent="0.25">
      <c r="A26" s="17"/>
      <c r="B26" s="17"/>
      <c r="C26" s="17"/>
      <c r="D26" s="17"/>
      <c r="E26" s="17"/>
      <c r="F26" s="17"/>
      <c r="G26" s="17"/>
      <c r="H26" s="17"/>
    </row>
    <row r="27" spans="1:8" x14ac:dyDescent="0.25">
      <c r="A27" s="17"/>
      <c r="B27" s="17"/>
      <c r="C27" s="17"/>
      <c r="D27" s="17"/>
      <c r="E27" s="17"/>
      <c r="F27" s="17"/>
      <c r="G27" s="17"/>
      <c r="H27" s="17"/>
    </row>
    <row r="28" spans="1:8" x14ac:dyDescent="0.25">
      <c r="A28" s="17"/>
      <c r="B28" s="17"/>
      <c r="C28" s="17"/>
      <c r="D28" s="17"/>
      <c r="E28" s="17"/>
      <c r="F28" s="17"/>
      <c r="G28" s="17"/>
      <c r="H28" s="1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FF5-0B73-4D4E-B5D8-1A93F9B97626}">
  <dimension ref="A1:H16"/>
  <sheetViews>
    <sheetView zoomScale="115" zoomScaleNormal="115" workbookViewId="0">
      <selection activeCell="H16" sqref="H16"/>
    </sheetView>
  </sheetViews>
  <sheetFormatPr defaultColWidth="0" defaultRowHeight="15" zeroHeight="1" x14ac:dyDescent="0.25"/>
  <cols>
    <col min="1" max="8" width="10.7109375" customWidth="1"/>
    <col min="9" max="16384" width="9.140625" hidden="1"/>
  </cols>
  <sheetData>
    <row r="1" spans="1:8" ht="30" x14ac:dyDescent="0.65">
      <c r="A1" s="47" t="str">
        <f>data!A79</f>
        <v>Raised Total Cholesterol</v>
      </c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/>
      <c r="B13" s="21"/>
      <c r="C13" s="21"/>
      <c r="D13" s="21"/>
      <c r="E13" s="21"/>
      <c r="F13" s="21"/>
      <c r="G13" s="21"/>
      <c r="H13" s="21"/>
    </row>
    <row r="14" spans="1:8" x14ac:dyDescent="0.25">
      <c r="A14" s="21"/>
      <c r="B14" s="21"/>
      <c r="C14" s="21"/>
      <c r="D14" s="21"/>
      <c r="E14" s="21"/>
      <c r="F14" s="21"/>
      <c r="G14" s="21"/>
      <c r="H14" s="21"/>
    </row>
    <row r="15" spans="1:8" s="55" customFormat="1" x14ac:dyDescent="0.25">
      <c r="A15" s="21"/>
      <c r="B15" s="21"/>
      <c r="C15" s="21"/>
      <c r="D15" s="21"/>
      <c r="E15" s="21"/>
      <c r="F15" s="21"/>
      <c r="G15" s="21"/>
      <c r="H15" s="21"/>
    </row>
    <row r="16" spans="1:8" s="55" customFormat="1" x14ac:dyDescent="0.25">
      <c r="A16" s="21"/>
      <c r="B16" s="21"/>
      <c r="C16" s="21"/>
      <c r="D16" s="21"/>
      <c r="E16" s="21"/>
      <c r="F16" s="21"/>
      <c r="G16" s="21"/>
      <c r="H16" s="2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91E1-250D-004C-9895-F085028D62C0}">
  <dimension ref="A1:H32"/>
  <sheetViews>
    <sheetView zoomScale="130" zoomScaleNormal="130" workbookViewId="0">
      <selection activeCell="A13" sqref="A13"/>
    </sheetView>
  </sheetViews>
  <sheetFormatPr defaultColWidth="0" defaultRowHeight="19.5" zeroHeight="1" x14ac:dyDescent="0.45"/>
  <cols>
    <col min="1" max="7" width="10.7109375" style="41" customWidth="1"/>
    <col min="8" max="8" width="3.28515625" style="41" customWidth="1"/>
    <col min="9" max="16384" width="9.140625" style="41" hidden="1"/>
  </cols>
  <sheetData>
    <row r="1" spans="1:8" ht="11.25" customHeight="1" x14ac:dyDescent="0.45">
      <c r="A1" s="51"/>
      <c r="B1" s="51"/>
      <c r="C1" s="51"/>
      <c r="D1" s="51"/>
      <c r="E1" s="51"/>
      <c r="F1" s="51"/>
      <c r="G1" s="51"/>
      <c r="H1" s="51"/>
    </row>
    <row r="2" spans="1:8" ht="30" x14ac:dyDescent="0.65">
      <c r="A2" s="38" t="str">
        <f>data!A87</f>
        <v>Cardiovascular Disease</v>
      </c>
      <c r="B2" s="51"/>
      <c r="C2" s="51"/>
      <c r="D2" s="51"/>
      <c r="E2" s="51"/>
      <c r="F2" s="51"/>
      <c r="G2" s="51"/>
      <c r="H2" s="51"/>
    </row>
    <row r="3" spans="1:8" x14ac:dyDescent="0.45">
      <c r="A3" s="51"/>
      <c r="B3" s="51"/>
      <c r="C3" s="51"/>
      <c r="D3" s="51"/>
      <c r="E3" s="51"/>
      <c r="F3" s="51"/>
      <c r="G3" s="51"/>
      <c r="H3" s="51"/>
    </row>
    <row r="4" spans="1:8" x14ac:dyDescent="0.45">
      <c r="A4" s="51"/>
      <c r="B4" s="51"/>
      <c r="C4" s="51"/>
      <c r="D4" s="51"/>
      <c r="E4" s="51"/>
      <c r="F4" s="51"/>
      <c r="G4" s="51"/>
      <c r="H4" s="51"/>
    </row>
    <row r="5" spans="1:8" x14ac:dyDescent="0.45">
      <c r="A5" s="51"/>
      <c r="B5" s="51"/>
      <c r="C5" s="51"/>
      <c r="D5" s="51"/>
      <c r="E5" s="51"/>
      <c r="F5" s="51"/>
      <c r="G5" s="51"/>
      <c r="H5" s="51"/>
    </row>
    <row r="6" spans="1:8" x14ac:dyDescent="0.45">
      <c r="A6" s="51"/>
      <c r="B6" s="51"/>
      <c r="C6" s="51"/>
      <c r="D6" s="51"/>
      <c r="E6" s="51"/>
      <c r="F6" s="51"/>
      <c r="G6" s="51"/>
      <c r="H6" s="51"/>
    </row>
    <row r="7" spans="1:8" x14ac:dyDescent="0.45">
      <c r="A7" s="51"/>
      <c r="B7" s="51"/>
      <c r="C7" s="51"/>
      <c r="D7" s="51"/>
      <c r="E7" s="51"/>
      <c r="F7" s="51"/>
      <c r="G7" s="51"/>
      <c r="H7" s="51"/>
    </row>
    <row r="8" spans="1:8" x14ac:dyDescent="0.45">
      <c r="A8" s="51"/>
      <c r="B8" s="51"/>
      <c r="C8" s="51"/>
      <c r="D8" s="51"/>
      <c r="E8" s="51"/>
      <c r="F8" s="51"/>
      <c r="G8" s="51"/>
      <c r="H8" s="51"/>
    </row>
    <row r="9" spans="1:8" x14ac:dyDescent="0.45">
      <c r="A9" s="51"/>
      <c r="B9" s="51"/>
      <c r="C9" s="51"/>
      <c r="D9" s="51"/>
      <c r="E9" s="51"/>
      <c r="F9" s="51"/>
      <c r="G9" s="51"/>
      <c r="H9" s="51"/>
    </row>
    <row r="10" spans="1:8" x14ac:dyDescent="0.45">
      <c r="A10" s="51"/>
      <c r="B10" s="51"/>
      <c r="C10" s="51"/>
      <c r="D10" s="51"/>
      <c r="E10" s="51"/>
      <c r="F10" s="51"/>
      <c r="G10" s="51"/>
      <c r="H10" s="51"/>
    </row>
    <row r="11" spans="1:8" x14ac:dyDescent="0.45">
      <c r="A11" s="51"/>
      <c r="B11" s="51"/>
      <c r="C11" s="51"/>
      <c r="D11" s="51"/>
      <c r="E11" s="51"/>
      <c r="F11" s="51"/>
      <c r="G11" s="51"/>
      <c r="H11" s="51"/>
    </row>
    <row r="12" spans="1:8" x14ac:dyDescent="0.45">
      <c r="A12" s="51"/>
      <c r="B12" s="51"/>
      <c r="C12" s="51"/>
      <c r="D12" s="51"/>
      <c r="E12" s="51"/>
      <c r="F12" s="51"/>
      <c r="G12" s="51"/>
      <c r="H12" s="51"/>
    </row>
    <row r="13" spans="1:8" x14ac:dyDescent="0.45">
      <c r="A13" s="51"/>
      <c r="B13" s="51"/>
      <c r="C13" s="51"/>
      <c r="D13" s="51"/>
      <c r="E13" s="51"/>
      <c r="F13" s="51"/>
      <c r="G13" s="51"/>
      <c r="H13" s="51"/>
    </row>
    <row r="17" s="41" customFormat="1" hidden="1" x14ac:dyDescent="0.45"/>
    <row r="18" s="41" customFormat="1" hidden="1" x14ac:dyDescent="0.45"/>
    <row r="19" s="41" customFormat="1" hidden="1" x14ac:dyDescent="0.45"/>
    <row r="20" s="41" customFormat="1" hidden="1" x14ac:dyDescent="0.45"/>
    <row r="21" s="41" customFormat="1" hidden="1" x14ac:dyDescent="0.45"/>
    <row r="22" s="41" customFormat="1" hidden="1" x14ac:dyDescent="0.45"/>
    <row r="23" s="41" customFormat="1" hidden="1" x14ac:dyDescent="0.45"/>
    <row r="24" s="41" customFormat="1" hidden="1" x14ac:dyDescent="0.45"/>
    <row r="25" s="41" customFormat="1" hidden="1" x14ac:dyDescent="0.45"/>
    <row r="26" s="41" customFormat="1" hidden="1" x14ac:dyDescent="0.45"/>
    <row r="27" s="41" customFormat="1" hidden="1" x14ac:dyDescent="0.45"/>
    <row r="28" s="41" customFormat="1" hidden="1" x14ac:dyDescent="0.45"/>
    <row r="29" s="41" customFormat="1" hidden="1" x14ac:dyDescent="0.45"/>
    <row r="30" s="41" customFormat="1" hidden="1" x14ac:dyDescent="0.45"/>
    <row r="31" s="41" customFormat="1" hidden="1" x14ac:dyDescent="0.45"/>
    <row r="32" s="41" customFormat="1" hidden="1" x14ac:dyDescent="0.4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B0B-A421-F442-8047-110306F80BF4}">
  <dimension ref="A1:I41"/>
  <sheetViews>
    <sheetView zoomScale="115" zoomScaleNormal="115" workbookViewId="0">
      <selection activeCell="A42" sqref="A42:XFD42"/>
    </sheetView>
  </sheetViews>
  <sheetFormatPr defaultColWidth="0" defaultRowHeight="19.5" zeroHeight="1" x14ac:dyDescent="0.45"/>
  <cols>
    <col min="1" max="1" width="3.140625" style="52" customWidth="1"/>
    <col min="2" max="6" width="10.7109375" style="52" customWidth="1"/>
    <col min="7" max="7" width="10.85546875" style="52" customWidth="1"/>
    <col min="8" max="8" width="10.7109375" style="52" customWidth="1"/>
    <col min="9" max="9" width="3.85546875" style="52" customWidth="1"/>
    <col min="10" max="16384" width="10.7109375" style="52" hidden="1"/>
  </cols>
  <sheetData>
    <row r="1" spans="2:2" ht="12" customHeight="1" x14ac:dyDescent="0.45"/>
    <row r="2" spans="2:2" ht="30" x14ac:dyDescent="0.65">
      <c r="B2" s="53" t="str">
        <f>data!A92</f>
        <v>Lifestyle Advice*</v>
      </c>
    </row>
    <row r="3" spans="2:2" ht="30" x14ac:dyDescent="0.65">
      <c r="B3" s="53"/>
    </row>
    <row r="4" spans="2:2" x14ac:dyDescent="0.45"/>
    <row r="5" spans="2:2" x14ac:dyDescent="0.45"/>
    <row r="6" spans="2:2" x14ac:dyDescent="0.45"/>
    <row r="7" spans="2:2" x14ac:dyDescent="0.45"/>
    <row r="8" spans="2:2" x14ac:dyDescent="0.45"/>
    <row r="9" spans="2:2" x14ac:dyDescent="0.45"/>
    <row r="10" spans="2:2" ht="32.25" customHeight="1" x14ac:dyDescent="0.45"/>
    <row r="11" spans="2:2" x14ac:dyDescent="0.45"/>
    <row r="12" spans="2:2" x14ac:dyDescent="0.45"/>
    <row r="13" spans="2:2" x14ac:dyDescent="0.45"/>
    <row r="14" spans="2:2" x14ac:dyDescent="0.45"/>
    <row r="15" spans="2:2" x14ac:dyDescent="0.45"/>
    <row r="16" spans="2:2" x14ac:dyDescent="0.45"/>
    <row r="17" x14ac:dyDescent="0.45"/>
    <row r="18" x14ac:dyDescent="0.45"/>
    <row r="19" x14ac:dyDescent="0.45"/>
    <row r="20" x14ac:dyDescent="0.45"/>
    <row r="21" x14ac:dyDescent="0.45"/>
    <row r="22" x14ac:dyDescent="0.45"/>
    <row r="23" x14ac:dyDescent="0.45"/>
    <row r="24" x14ac:dyDescent="0.45"/>
    <row r="25" x14ac:dyDescent="0.45"/>
    <row r="26" x14ac:dyDescent="0.45"/>
    <row r="27" x14ac:dyDescent="0.45"/>
    <row r="28" x14ac:dyDescent="0.45"/>
    <row r="29" x14ac:dyDescent="0.45"/>
    <row r="30" x14ac:dyDescent="0.45"/>
    <row r="31" x14ac:dyDescent="0.45"/>
    <row r="32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EE3-B114-3F44-8A3F-D29DAD9502DC}">
  <dimension ref="A1:J25"/>
  <sheetViews>
    <sheetView topLeftCell="A15" zoomScale="110" zoomScaleNormal="110" workbookViewId="0">
      <selection activeCell="B25" sqref="B25:I25"/>
    </sheetView>
  </sheetViews>
  <sheetFormatPr defaultColWidth="0" defaultRowHeight="19.5" zeroHeight="1" x14ac:dyDescent="0.45"/>
  <cols>
    <col min="1" max="1" width="2.5703125" style="41" customWidth="1"/>
    <col min="2" max="2" width="2.85546875" style="41" customWidth="1"/>
    <col min="3" max="8" width="10.7109375" style="41" customWidth="1"/>
    <col min="9" max="9" width="2.42578125" style="41" customWidth="1"/>
    <col min="10" max="16384" width="10.7109375" style="41" hidden="1"/>
  </cols>
  <sheetData>
    <row r="1" spans="1:9" ht="30" x14ac:dyDescent="0.65">
      <c r="A1" s="49"/>
      <c r="B1" s="46" t="str">
        <f>data!A102</f>
        <v>Multiple Risk Factors</v>
      </c>
      <c r="C1" s="49"/>
      <c r="D1" s="49"/>
      <c r="E1" s="49"/>
      <c r="F1" s="49"/>
      <c r="G1" s="49"/>
      <c r="H1" s="49"/>
      <c r="I1" s="49"/>
    </row>
    <row r="2" spans="1:9" x14ac:dyDescent="0.45">
      <c r="A2" s="49"/>
      <c r="B2" s="49"/>
      <c r="C2" s="49"/>
      <c r="D2" s="49"/>
      <c r="E2" s="49"/>
      <c r="F2" s="49"/>
      <c r="G2" s="49"/>
      <c r="H2" s="49"/>
      <c r="I2" s="49"/>
    </row>
    <row r="3" spans="1:9" x14ac:dyDescent="0.45">
      <c r="A3" s="49"/>
      <c r="B3" s="49"/>
      <c r="C3" s="49"/>
      <c r="D3" s="49"/>
      <c r="E3" s="49"/>
      <c r="F3" s="49"/>
      <c r="G3" s="49"/>
      <c r="H3" s="49"/>
      <c r="I3" s="49"/>
    </row>
    <row r="4" spans="1:9" x14ac:dyDescent="0.45">
      <c r="A4" s="49"/>
      <c r="B4" s="49"/>
      <c r="C4" s="49"/>
      <c r="D4" s="49"/>
      <c r="E4" s="49"/>
      <c r="F4" s="49"/>
      <c r="G4" s="49"/>
      <c r="H4" s="49"/>
      <c r="I4" s="49"/>
    </row>
    <row r="5" spans="1:9" x14ac:dyDescent="0.45">
      <c r="A5" s="49"/>
      <c r="B5" s="49"/>
      <c r="C5" s="49"/>
      <c r="D5" s="49"/>
      <c r="E5" s="49"/>
      <c r="F5" s="49"/>
      <c r="G5" s="49"/>
      <c r="H5" s="49"/>
      <c r="I5" s="49"/>
    </row>
    <row r="6" spans="1:9" x14ac:dyDescent="0.45">
      <c r="A6" s="49"/>
      <c r="B6" s="49"/>
      <c r="C6" s="49"/>
      <c r="D6" s="49"/>
      <c r="E6" s="49"/>
      <c r="F6" s="49"/>
      <c r="G6" s="49"/>
      <c r="H6" s="49"/>
      <c r="I6" s="49"/>
    </row>
    <row r="7" spans="1:9" x14ac:dyDescent="0.45">
      <c r="A7" s="49"/>
      <c r="B7" s="49"/>
      <c r="C7" s="49"/>
      <c r="D7" s="49"/>
      <c r="E7" s="49"/>
      <c r="F7" s="49"/>
      <c r="G7" s="49"/>
      <c r="H7" s="49"/>
      <c r="I7" s="49"/>
    </row>
    <row r="8" spans="1:9" x14ac:dyDescent="0.45">
      <c r="A8" s="49"/>
      <c r="B8" s="49"/>
      <c r="C8" s="49"/>
      <c r="D8" s="49"/>
      <c r="E8" s="49"/>
      <c r="F8" s="49"/>
      <c r="G8" s="49"/>
      <c r="H8" s="49"/>
      <c r="I8" s="49"/>
    </row>
    <row r="9" spans="1:9" x14ac:dyDescent="0.4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4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4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4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4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4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4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45">
      <c r="A16" s="49"/>
      <c r="B16" s="49"/>
      <c r="C16" s="49"/>
      <c r="D16" s="49"/>
      <c r="E16" s="49"/>
      <c r="F16" s="49"/>
      <c r="G16" s="49"/>
      <c r="H16" s="49"/>
      <c r="I16" s="49"/>
    </row>
    <row r="17" spans="1:10" x14ac:dyDescent="0.45">
      <c r="A17" s="49"/>
      <c r="B17" s="49"/>
      <c r="C17" s="49"/>
      <c r="D17" s="49"/>
      <c r="E17" s="49"/>
      <c r="F17" s="49"/>
      <c r="G17" s="49"/>
      <c r="H17" s="49"/>
      <c r="I17" s="49"/>
    </row>
    <row r="18" spans="1:10" x14ac:dyDescent="0.45">
      <c r="A18" s="49"/>
      <c r="B18" s="49"/>
      <c r="C18" s="49"/>
      <c r="D18" s="49"/>
      <c r="E18" s="49"/>
      <c r="F18" s="49"/>
      <c r="G18" s="49"/>
      <c r="H18" s="49"/>
      <c r="I18" s="49"/>
    </row>
    <row r="19" spans="1:10" x14ac:dyDescent="0.45">
      <c r="A19" s="49"/>
      <c r="B19" s="49"/>
      <c r="C19" s="49"/>
      <c r="D19" s="49"/>
      <c r="E19" s="49"/>
      <c r="F19" s="49"/>
      <c r="G19" s="49"/>
      <c r="H19" s="49"/>
      <c r="I19" s="49"/>
    </row>
    <row r="20" spans="1:10" x14ac:dyDescent="0.45">
      <c r="A20" s="49"/>
      <c r="B20" s="49"/>
      <c r="C20" s="49"/>
      <c r="D20" s="49"/>
      <c r="E20" s="49"/>
      <c r="F20" s="49"/>
      <c r="G20" s="49"/>
      <c r="H20" s="49"/>
      <c r="I20" s="49"/>
    </row>
    <row r="21" spans="1:10" x14ac:dyDescent="0.45">
      <c r="A21" s="49"/>
      <c r="B21" s="49"/>
      <c r="C21" s="49"/>
      <c r="D21" s="49"/>
      <c r="E21" s="49"/>
      <c r="F21" s="49"/>
      <c r="G21" s="49"/>
      <c r="H21" s="49"/>
      <c r="I21" s="49"/>
    </row>
    <row r="22" spans="1:10" x14ac:dyDescent="0.45">
      <c r="A22" s="49"/>
      <c r="B22" s="49"/>
      <c r="C22" s="49"/>
      <c r="D22" s="49"/>
      <c r="E22" s="49"/>
      <c r="F22" s="49"/>
      <c r="G22" s="49"/>
      <c r="H22" s="49"/>
      <c r="I22" s="49"/>
    </row>
    <row r="23" spans="1:10" x14ac:dyDescent="0.45">
      <c r="A23" s="49"/>
      <c r="B23" s="49"/>
      <c r="C23" s="49"/>
      <c r="D23" s="49"/>
      <c r="E23" s="49"/>
      <c r="F23" s="49"/>
      <c r="G23" s="49"/>
      <c r="H23" s="49"/>
      <c r="I23" s="49"/>
    </row>
    <row r="24" spans="1:10" x14ac:dyDescent="0.45">
      <c r="A24" s="49"/>
      <c r="B24" s="49"/>
      <c r="C24" s="49"/>
      <c r="D24" s="49"/>
      <c r="E24" s="49"/>
      <c r="F24" s="49"/>
      <c r="G24" s="49"/>
      <c r="H24" s="49"/>
      <c r="I24" s="49"/>
    </row>
    <row r="25" spans="1:10" ht="54.75" customHeight="1" x14ac:dyDescent="0.45">
      <c r="A25" s="49"/>
      <c r="B25" s="69" t="str">
        <f>data!A108</f>
        <v>* current daily smoking, &lt;5 servings of fruit or vegetables per day, not meeting WHO recommendations for physical activity, BMI≥25, raised blood pressure (SBP ≥ 140 and/or DBP ≥ 90 mmHg or currently on medication)</v>
      </c>
      <c r="C25" s="69"/>
      <c r="D25" s="69"/>
      <c r="E25" s="69"/>
      <c r="F25" s="69"/>
      <c r="G25" s="69"/>
      <c r="H25" s="69"/>
      <c r="I25" s="69"/>
      <c r="J25" s="57"/>
    </row>
  </sheetData>
  <mergeCells count="1">
    <mergeCell ref="B25:I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</vt:lpstr>
      <vt:lpstr>Tobacco</vt:lpstr>
      <vt:lpstr>Alcohol Use</vt:lpstr>
      <vt:lpstr>Diet</vt:lpstr>
      <vt:lpstr>Physical Activity</vt:lpstr>
      <vt:lpstr>BMI</vt:lpstr>
      <vt:lpstr>Raised blood pressure</vt:lpstr>
      <vt:lpstr>Diabetes</vt:lpstr>
      <vt:lpstr>Raised cholesterol</vt:lpstr>
      <vt:lpstr>Cardiovascular disease</vt:lpstr>
      <vt:lpstr>Lifestyle advice</vt:lpstr>
      <vt:lpstr>Multiple risk factors</vt:lpstr>
      <vt:lpstr>Tobacco!Print_Area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SAVIN, Ştefan</dc:creator>
  <cp:keywords/>
  <dc:description/>
  <cp:lastModifiedBy>COWAN, Melanie</cp:lastModifiedBy>
  <cp:revision/>
  <cp:lastPrinted>2026-01-16T17:28:54Z</cp:lastPrinted>
  <dcterms:created xsi:type="dcterms:W3CDTF">2025-06-03T07:57:52Z</dcterms:created>
  <dcterms:modified xsi:type="dcterms:W3CDTF">2026-08-27T15:48:55Z</dcterms:modified>
  <cp:category/>
  <cp:contentStatus/>
</cp:coreProperties>
</file>