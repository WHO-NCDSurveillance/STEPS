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drawings/drawing3.xml" ContentType="application/vnd.openxmlformats-officedocument.drawingml.chartshapes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ml.chartshapes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ml.chartshapes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ml.chartshapes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ml.chartshapes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ml.chartshapes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ml.chartshapes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ml.chartshapes+xml"/>
  <Override PartName="/xl/charts/chart13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4.xml" ContentType="application/vnd.openxmlformats-officedocument.drawingml.chart+xml"/>
  <Override PartName="/xl/drawings/drawing12.xml" ContentType="application/vnd.openxmlformats-officedocument.drawingml.chartshapes+xml"/>
  <Override PartName="/xl/charts/chart15.xml" ContentType="application/vnd.openxmlformats-officedocument.drawingml.chart+xml"/>
  <Override PartName="/xl/drawings/drawing13.xml" ContentType="application/vnd.openxmlformats-officedocument.drawingml.chartshapes+xml"/>
  <Override PartName="/xl/charts/chart16.xml" ContentType="application/vnd.openxmlformats-officedocument.drawingml.chart+xml"/>
  <Override PartName="/xl/drawings/drawing14.xml" ContentType="application/vnd.openxmlformats-officedocument.drawingml.chartshapes+xml"/>
  <Override PartName="/xl/charts/chart17.xml" ContentType="application/vnd.openxmlformats-officedocument.drawingml.chart+xml"/>
  <Override PartName="/xl/drawings/drawing15.xml" ContentType="application/vnd.openxmlformats-officedocument.drawingml.chartshapes+xml"/>
  <Override PartName="/xl/drawings/drawing16.xml" ContentType="application/vnd.openxmlformats-officedocument.drawing+xml"/>
  <Override PartName="/xl/charts/chart18.xml" ContentType="application/vnd.openxmlformats-officedocument.drawingml.chart+xml"/>
  <Override PartName="/xl/drawings/drawing17.xml" ContentType="application/vnd.openxmlformats-officedocument.drawingml.chartshapes+xml"/>
  <Override PartName="/xl/charts/chart19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20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21.xml" ContentType="application/vnd.openxmlformats-officedocument.drawingml.chart+xml"/>
  <Override PartName="/xl/drawings/drawing18.xml" ContentType="application/vnd.openxmlformats-officedocument.drawingml.chartshapes+xml"/>
  <Override PartName="/xl/charts/chart22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9.xml" ContentType="application/vnd.openxmlformats-officedocument.drawing+xml"/>
  <Override PartName="/xl/charts/chart23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24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25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26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7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8.xml" ContentType="application/vnd.openxmlformats-officedocument.drawingml.chart+xml"/>
  <Override PartName="/xl/drawings/drawing20.xml" ContentType="application/vnd.openxmlformats-officedocument.drawingml.chartshapes+xml"/>
  <Override PartName="/xl/charts/chart29.xml" ContentType="application/vnd.openxmlformats-officedocument.drawingml.chart+xml"/>
  <Override PartName="/xl/drawings/drawing21.xml" ContentType="application/vnd.openxmlformats-officedocument.drawingml.chartshapes+xml"/>
  <Override PartName="/xl/charts/chart30.xml" ContentType="application/vnd.openxmlformats-officedocument.drawingml.chart+xml"/>
  <Override PartName="/xl/drawings/drawing22.xml" ContentType="application/vnd.openxmlformats-officedocument.drawingml.chartshapes+xml"/>
  <Override PartName="/xl/drawings/drawing23.xml" ContentType="application/vnd.openxmlformats-officedocument.drawing+xml"/>
  <Override PartName="/xl/charts/chart31.xml" ContentType="application/vnd.openxmlformats-officedocument.drawingml.chart+xml"/>
  <Override PartName="/xl/drawings/drawing24.xml" ContentType="application/vnd.openxmlformats-officedocument.drawingml.chartshapes+xml"/>
  <Override PartName="/xl/charts/chart32.xml" ContentType="application/vnd.openxmlformats-officedocument.drawingml.chart+xml"/>
  <Override PartName="/xl/drawings/drawing25.xml" ContentType="application/vnd.openxmlformats-officedocument.drawingml.chartshapes+xml"/>
  <Override PartName="/xl/charts/chart33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34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35.xml" ContentType="application/vnd.openxmlformats-officedocument.drawingml.chart+xml"/>
  <Override PartName="/xl/drawings/drawing26.xml" ContentType="application/vnd.openxmlformats-officedocument.drawingml.chartshapes+xml"/>
  <Override PartName="/xl/charts/chart36.xml" ContentType="application/vnd.openxmlformats-officedocument.drawingml.chart+xml"/>
  <Override PartName="/xl/drawings/drawing27.xml" ContentType="application/vnd.openxmlformats-officedocument.drawingml.chartshapes+xml"/>
  <Override PartName="/xl/drawings/drawing28.xml" ContentType="application/vnd.openxmlformats-officedocument.drawing+xml"/>
  <Override PartName="/xl/charts/chart37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38.xml" ContentType="application/vnd.openxmlformats-officedocument.drawingml.chart+xml"/>
  <Override PartName="/xl/drawings/drawing29.xml" ContentType="application/vnd.openxmlformats-officedocument.drawingml.chartshapes+xml"/>
  <Override PartName="/xl/charts/chart39.xml" ContentType="application/vnd.openxmlformats-officedocument.drawingml.chart+xml"/>
  <Override PartName="/xl/drawings/drawing30.xml" ContentType="application/vnd.openxmlformats-officedocument.drawingml.chartshapes+xml"/>
  <Override PartName="/xl/charts/chart40.xml" ContentType="application/vnd.openxmlformats-officedocument.drawingml.chart+xml"/>
  <Override PartName="/xl/drawings/drawing31.xml" ContentType="application/vnd.openxmlformats-officedocument.drawingml.chartshapes+xml"/>
  <Override PartName="/xl/charts/chart41.xml" ContentType="application/vnd.openxmlformats-officedocument.drawingml.chart+xml"/>
  <Override PartName="/xl/drawings/drawing32.xml" ContentType="application/vnd.openxmlformats-officedocument.drawingml.chartshapes+xml"/>
  <Override PartName="/xl/drawings/drawing33.xml" ContentType="application/vnd.openxmlformats-officedocument.drawing+xml"/>
  <Override PartName="/xl/charts/chart42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43.xml" ContentType="application/vnd.openxmlformats-officedocument.drawingml.chart+xml"/>
  <Override PartName="/xl/drawings/drawing34.xml" ContentType="application/vnd.openxmlformats-officedocument.drawingml.chartshapes+xml"/>
  <Override PartName="/xl/drawings/drawing35.xml" ContentType="application/vnd.openxmlformats-officedocument.drawing+xml"/>
  <Override PartName="/xl/charts/chart44.xml" ContentType="application/vnd.openxmlformats-officedocument.drawingml.chart+xml"/>
  <Override PartName="/xl/drawings/drawing36.xml" ContentType="application/vnd.openxmlformats-officedocument.drawingml.chartshapes+xml"/>
  <Override PartName="/xl/charts/chart4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46.xml" ContentType="application/vnd.openxmlformats-officedocument.drawingml.chart+xml"/>
  <Override PartName="/xl/drawings/drawing37.xml" ContentType="application/vnd.openxmlformats-officedocument.drawingml.chartshapes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charts/chart47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48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49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DATA\R\GitHub current\STEPS_data_analysis\excel_templates\"/>
    </mc:Choice>
  </mc:AlternateContent>
  <xr:revisionPtr revIDLastSave="0" documentId="13_ncr:1_{F33490BB-761E-4B21-A0A6-5F59796B1DA4}" xr6:coauthVersionLast="47" xr6:coauthVersionMax="47" xr10:uidLastSave="{00000000-0000-0000-0000-000000000000}"/>
  <bookViews>
    <workbookView xWindow="29700" yWindow="450" windowWidth="26460" windowHeight="13890" tabRatio="899" activeTab="11" xr2:uid="{FAD75787-D7FF-45FF-86DB-E0E6F4E490F5}"/>
  </bookViews>
  <sheets>
    <sheet name="data" sheetId="2" r:id="rId1"/>
    <sheet name="Tobacco" sheetId="1" r:id="rId2"/>
    <sheet name="Alcohol Use" sheetId="3" r:id="rId3"/>
    <sheet name="Diet" sheetId="4" r:id="rId4"/>
    <sheet name="Physical Activity" sheetId="6" r:id="rId5"/>
    <sheet name="BMI" sheetId="7" r:id="rId6"/>
    <sheet name="Raised blood pressure" sheetId="8" r:id="rId7"/>
    <sheet name="Diabetes" sheetId="9" r:id="rId8"/>
    <sheet name="Raised cholesterol" sheetId="10" r:id="rId9"/>
    <sheet name="Cardiovascular disease" sheetId="11" r:id="rId10"/>
    <sheet name="Lifestyle advice" sheetId="12" r:id="rId11"/>
    <sheet name="Multiple risk factors" sheetId="13" r:id="rId12"/>
  </sheets>
  <externalReferences>
    <externalReference r:id="rId13"/>
  </externalReferences>
  <definedNames>
    <definedName name="_xlnm.Print_Area" localSheetId="1">Tobacco!$A$1:$L$37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85" i="2" l="1"/>
  <c r="A84" i="2"/>
  <c r="A83" i="2"/>
  <c r="A77" i="2"/>
  <c r="A71" i="2"/>
  <c r="A63" i="2"/>
  <c r="A62" i="2"/>
  <c r="A61" i="2"/>
  <c r="A100" i="2" l="1"/>
  <c r="A99" i="2"/>
  <c r="A98" i="2"/>
  <c r="A97" i="2"/>
  <c r="A96" i="2"/>
  <c r="A95" i="2"/>
  <c r="B100" i="2"/>
  <c r="B99" i="2"/>
  <c r="B98" i="2"/>
  <c r="B97" i="2"/>
  <c r="B96" i="2"/>
  <c r="B95" i="2"/>
  <c r="B38" i="2"/>
  <c r="C38" i="2" s="1"/>
  <c r="B51" i="2"/>
  <c r="A89" i="2"/>
  <c r="B82" i="2"/>
  <c r="C82" i="2" s="1"/>
  <c r="B81" i="2"/>
  <c r="C81" i="2" s="1"/>
  <c r="B80" i="2"/>
  <c r="C80" i="2" s="1"/>
  <c r="A82" i="2"/>
  <c r="A81" i="2"/>
  <c r="B76" i="2"/>
  <c r="A76" i="2"/>
  <c r="A75" i="2"/>
  <c r="B75" i="2"/>
  <c r="C75" i="2" s="1"/>
  <c r="B70" i="2"/>
  <c r="C70" i="2" s="1"/>
  <c r="B69" i="2"/>
  <c r="C69" i="2" s="1"/>
  <c r="B68" i="2"/>
  <c r="C68" i="2" s="1"/>
  <c r="A70" i="2"/>
  <c r="A69" i="2"/>
  <c r="A68" i="2"/>
  <c r="A67" i="2"/>
  <c r="B61" i="2"/>
  <c r="C61" i="2" s="1"/>
  <c r="B60" i="2"/>
  <c r="C60" i="2" s="1"/>
  <c r="B59" i="2"/>
  <c r="C59" i="2" s="1"/>
  <c r="B58" i="2"/>
  <c r="C58" i="2" s="1"/>
  <c r="B57" i="2"/>
  <c r="C57" i="2" s="1"/>
  <c r="B56" i="2"/>
  <c r="C56" i="2" s="1"/>
  <c r="A60" i="2"/>
  <c r="A59" i="2"/>
  <c r="A58" i="2"/>
  <c r="A57" i="2"/>
  <c r="A56" i="2"/>
  <c r="A93" i="2"/>
  <c r="A43" i="2"/>
  <c r="A42" i="2"/>
  <c r="A53" i="2"/>
  <c r="A52" i="2"/>
  <c r="B49" i="2"/>
  <c r="C49" i="2" s="1"/>
  <c r="B48" i="2"/>
  <c r="A49" i="2"/>
  <c r="A48" i="2"/>
  <c r="A32" i="2"/>
  <c r="A33" i="2"/>
  <c r="A26" i="2"/>
  <c r="A24" i="2"/>
  <c r="B7" i="2"/>
  <c r="C7" i="2" s="1"/>
  <c r="D7" i="2" s="1"/>
  <c r="A7" i="2"/>
  <c r="A8" i="2"/>
  <c r="C52" i="2" l="1"/>
  <c r="A5" i="2" l="1"/>
  <c r="A3" i="2"/>
  <c r="B104" i="2" l="1"/>
  <c r="A104" i="2"/>
  <c r="B103" i="2"/>
  <c r="A103" i="2"/>
  <c r="C95" i="2"/>
  <c r="D95" i="2" s="1"/>
  <c r="B94" i="2"/>
  <c r="A94" i="2"/>
  <c r="B88" i="2"/>
  <c r="C88" i="2" s="1"/>
  <c r="D88" i="2" s="1"/>
  <c r="A88" i="2"/>
  <c r="D81" i="2"/>
  <c r="D80" i="2"/>
  <c r="A80" i="2"/>
  <c r="A79" i="2"/>
  <c r="A1" i="10" s="1"/>
  <c r="B107" i="2"/>
  <c r="B106" i="2"/>
  <c r="B105" i="2"/>
  <c r="A107" i="2"/>
  <c r="A106" i="2"/>
  <c r="A105" i="2"/>
  <c r="C100" i="2"/>
  <c r="D100" i="2" s="1"/>
  <c r="A102" i="2"/>
  <c r="B1" i="13" s="1"/>
  <c r="A92" i="2"/>
  <c r="B2" i="12" s="1"/>
  <c r="B90" i="2"/>
  <c r="A90" i="2"/>
  <c r="D82" i="2"/>
  <c r="A87" i="2"/>
  <c r="A2" i="11" s="1"/>
  <c r="B74" i="2"/>
  <c r="C74" i="2" s="1"/>
  <c r="A74" i="2"/>
  <c r="A73" i="2"/>
  <c r="A2" i="9" s="1"/>
  <c r="D70" i="2"/>
  <c r="A66" i="2"/>
  <c r="B33" i="2"/>
  <c r="B5" i="4" s="1"/>
  <c r="B34" i="2"/>
  <c r="B11" i="4" s="1"/>
  <c r="C105" i="2" l="1"/>
  <c r="D105" i="2" s="1"/>
  <c r="C106" i="2"/>
  <c r="D106" i="2" s="1"/>
  <c r="C103" i="2"/>
  <c r="D103" i="2" s="1"/>
  <c r="C107" i="2"/>
  <c r="D107" i="2" s="1"/>
  <c r="C104" i="2"/>
  <c r="D104" i="2" s="1"/>
  <c r="A65" i="2"/>
  <c r="A1" i="8" s="1"/>
  <c r="A55" i="2"/>
  <c r="A2" i="7" s="1"/>
  <c r="A51" i="2"/>
  <c r="A50" i="2"/>
  <c r="A47" i="2"/>
  <c r="A46" i="2"/>
  <c r="A45" i="2"/>
  <c r="A44" i="2"/>
  <c r="A41" i="2"/>
  <c r="A40" i="2"/>
  <c r="B2" i="6" s="1"/>
  <c r="A38" i="2"/>
  <c r="A37" i="2"/>
  <c r="A36" i="2"/>
  <c r="A35" i="2"/>
  <c r="A34" i="2"/>
  <c r="A31" i="2"/>
  <c r="B2" i="4" s="1"/>
  <c r="A29" i="2"/>
  <c r="A28" i="2"/>
  <c r="A27" i="2"/>
  <c r="A25" i="2"/>
  <c r="A23" i="2"/>
  <c r="A22" i="2"/>
  <c r="A21" i="2"/>
  <c r="A20" i="2"/>
  <c r="A19" i="2"/>
  <c r="A18" i="2"/>
  <c r="B2" i="3" s="1"/>
  <c r="A2" i="2"/>
  <c r="B2" i="1" s="1"/>
  <c r="A16" i="2"/>
  <c r="A15" i="2"/>
  <c r="A14" i="2"/>
  <c r="A13" i="2"/>
  <c r="A12" i="2"/>
  <c r="A11" i="2"/>
  <c r="A10" i="2"/>
  <c r="A9" i="2"/>
  <c r="A6" i="2"/>
  <c r="A4" i="2"/>
  <c r="B66" i="2"/>
  <c r="C99" i="2"/>
  <c r="D99" i="2" s="1"/>
  <c r="C98" i="2"/>
  <c r="D98" i="2" s="1"/>
  <c r="C97" i="2"/>
  <c r="D97" i="2" s="1"/>
  <c r="C96" i="2"/>
  <c r="D96" i="2" s="1"/>
  <c r="C94" i="2"/>
  <c r="D94" i="2" s="1"/>
  <c r="C90" i="2"/>
  <c r="D90" i="2" s="1"/>
  <c r="D74" i="2"/>
  <c r="D69" i="2"/>
  <c r="D68" i="2"/>
  <c r="D61" i="2"/>
  <c r="D60" i="2"/>
  <c r="D59" i="2"/>
  <c r="D58" i="2"/>
  <c r="D57" i="2"/>
  <c r="D56" i="2"/>
  <c r="B50" i="2"/>
  <c r="D49" i="2"/>
  <c r="B47" i="2"/>
  <c r="B46" i="2"/>
  <c r="B45" i="2"/>
  <c r="B44" i="2"/>
  <c r="B41" i="2"/>
  <c r="B37" i="2"/>
  <c r="C37" i="2" s="1"/>
  <c r="B36" i="2"/>
  <c r="C36" i="2" s="1"/>
  <c r="D36" i="2" s="1"/>
  <c r="B35" i="2"/>
  <c r="C35" i="2" s="1"/>
  <c r="D35" i="2" s="1"/>
  <c r="C33" i="2"/>
  <c r="B29" i="2"/>
  <c r="B28" i="2"/>
  <c r="B27" i="2"/>
  <c r="B25" i="2"/>
  <c r="B23" i="2"/>
  <c r="C23" i="2" s="1"/>
  <c r="D23" i="2" s="1"/>
  <c r="B22" i="2"/>
  <c r="C22" i="2" s="1"/>
  <c r="D22" i="2" s="1"/>
  <c r="B21" i="2"/>
  <c r="B20" i="2"/>
  <c r="B19" i="2"/>
  <c r="C19" i="2" s="1"/>
  <c r="D19" i="2" s="1"/>
  <c r="B16" i="2"/>
  <c r="C16" i="2" s="1"/>
  <c r="B15" i="2"/>
  <c r="B14" i="2"/>
  <c r="C14" i="2" s="1"/>
  <c r="B13" i="2"/>
  <c r="C13" i="2" s="1"/>
  <c r="B12" i="2"/>
  <c r="C12" i="2" s="1"/>
  <c r="B11" i="2"/>
  <c r="C11" i="2" s="1"/>
  <c r="B10" i="2"/>
  <c r="C10" i="2" s="1"/>
  <c r="B9" i="2"/>
  <c r="C9" i="2" s="1"/>
  <c r="B8" i="2"/>
  <c r="C8" i="2" s="1"/>
  <c r="B5" i="2"/>
  <c r="C5" i="2" s="1"/>
  <c r="B4" i="2"/>
  <c r="B3" i="2"/>
  <c r="C3" i="2" s="1"/>
  <c r="D3" i="2" s="1"/>
  <c r="D75" i="2"/>
  <c r="C50" i="2" l="1"/>
  <c r="D50" i="2" s="1"/>
  <c r="C66" i="2"/>
  <c r="D66" i="2" s="1"/>
  <c r="C41" i="2"/>
  <c r="D41" i="2" s="1"/>
  <c r="C44" i="2"/>
  <c r="D44" i="2" s="1"/>
  <c r="C48" i="2"/>
  <c r="D48" i="2" s="1"/>
  <c r="C45" i="2"/>
  <c r="D45" i="2" s="1"/>
  <c r="C46" i="2"/>
  <c r="D46" i="2" s="1"/>
  <c r="C47" i="2"/>
  <c r="D47" i="2" s="1"/>
  <c r="D13" i="2"/>
  <c r="E13" i="2"/>
  <c r="D14" i="2"/>
  <c r="E14" i="2"/>
  <c r="E5" i="2"/>
  <c r="D5" i="2"/>
  <c r="C15" i="2"/>
  <c r="D15" i="2" s="1"/>
  <c r="D32" i="1"/>
  <c r="C4" i="2"/>
  <c r="D4" i="2" s="1"/>
  <c r="E4" i="2"/>
  <c r="D11" i="2"/>
  <c r="B8" i="1"/>
  <c r="D12" i="2"/>
  <c r="D8" i="2"/>
  <c r="E20" i="2"/>
  <c r="E21" i="2"/>
  <c r="D16" i="2"/>
  <c r="C25" i="2"/>
  <c r="D25" i="2" s="1"/>
  <c r="C20" i="2"/>
  <c r="D20" i="2" s="1"/>
  <c r="E23" i="2"/>
  <c r="D9" i="2"/>
  <c r="D37" i="2"/>
  <c r="E36" i="2"/>
  <c r="C34" i="2"/>
  <c r="E22" i="2"/>
  <c r="C21" i="2"/>
  <c r="D21" i="2" s="1"/>
  <c r="D10" i="2"/>
</calcChain>
</file>

<file path=xl/sharedStrings.xml><?xml version="1.0" encoding="utf-8"?>
<sst xmlns="http://schemas.openxmlformats.org/spreadsheetml/2006/main" count="5" uniqueCount="5">
  <si>
    <t>icons</t>
  </si>
  <si>
    <t>col3</t>
  </si>
  <si>
    <t>col4</t>
  </si>
  <si>
    <t>col5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</si>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</sst>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_(* #,##0.0_);_(* \(#,##0.0\);_(* &quot;-&quot;??_);_(@_)"/>
    <numFmt numFmtId="166" formatCode="_(* #,##0_);_(* \(#,##0\);_(* &quot;-&quot;??_);_(@_)"/>
    <numFmt numFmtId="167" formatCode="0.0"/>
    <numFmt numFmtId="168" formatCode="#,##0.0_);\(#,##0.0\)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0" tint="-0.14999847407452621"/>
      <name val="Aptos Narrow"/>
      <family val="2"/>
      <scheme val="minor"/>
    </font>
    <font>
      <sz val="10"/>
      <color theme="0"/>
      <name val="Calibri"/>
      <family val="2"/>
    </font>
    <font>
      <sz val="8"/>
      <name val="Aptos Narrow"/>
      <family val="2"/>
      <scheme val="minor"/>
    </font>
    <font>
      <b/>
      <sz val="12"/>
      <color theme="0"/>
      <name val="Calibri"/>
      <family val="2"/>
    </font>
    <font>
      <b/>
      <sz val="14"/>
      <color theme="0"/>
      <name val="Calibri"/>
      <family val="2"/>
    </font>
    <font>
      <b/>
      <sz val="18"/>
      <color theme="0"/>
      <name val="Calibri"/>
      <family val="2"/>
    </font>
    <font>
      <sz val="10"/>
      <color theme="0" tint="-0.1499984740745262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2" tint="-9.9978637043366805E-2"/>
      <name val="Aptos Narrow"/>
      <family val="2"/>
      <scheme val="minor"/>
    </font>
    <font>
      <b/>
      <i/>
      <sz val="18"/>
      <color theme="0"/>
      <name val="Noto Sans"/>
      <family val="2"/>
    </font>
    <font>
      <b/>
      <sz val="12"/>
      <color theme="0"/>
      <name val="Noto Sans"/>
      <family val="2"/>
    </font>
    <font>
      <sz val="10"/>
      <color theme="0"/>
      <name val="Noto Sans"/>
      <family val="2"/>
    </font>
    <font>
      <sz val="11"/>
      <color theme="1"/>
      <name val="Noto Sans"/>
      <family val="2"/>
    </font>
    <font>
      <b/>
      <sz val="10"/>
      <color theme="0"/>
      <name val="Noto Sans"/>
      <family val="2"/>
    </font>
    <font>
      <b/>
      <sz val="11"/>
      <color theme="0"/>
      <name val="Noto Sans"/>
      <family val="2"/>
    </font>
    <font>
      <sz val="11"/>
      <color theme="0"/>
      <name val="Noto Sans"/>
      <family val="2"/>
    </font>
  </fonts>
  <fills count="11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B48632"/>
        <bgColor indexed="64"/>
      </patternFill>
    </fill>
    <fill>
      <patternFill patternType="solid">
        <fgColor rgb="FF412C5D"/>
        <bgColor indexed="64"/>
      </patternFill>
    </fill>
    <fill>
      <patternFill patternType="solid">
        <fgColor rgb="FF26477D"/>
        <bgColor indexed="64"/>
      </patternFill>
    </fill>
    <fill>
      <patternFill patternType="solid">
        <fgColor rgb="FFB69245"/>
        <bgColor indexed="64"/>
      </patternFill>
    </fill>
    <fill>
      <patternFill patternType="solid">
        <fgColor rgb="FFA33338"/>
        <bgColor indexed="64"/>
      </patternFill>
    </fill>
    <fill>
      <patternFill patternType="solid">
        <fgColor rgb="FF46295F"/>
        <bgColor indexed="64"/>
      </patternFill>
    </fill>
    <fill>
      <patternFill patternType="solid">
        <fgColor theme="3" tint="0.49998474074526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7">
    <xf numFmtId="0" fontId="0" fillId="0" borderId="0" xfId="0"/>
    <xf numFmtId="9" fontId="0" fillId="0" borderId="0" xfId="0" applyNumberFormat="1"/>
    <xf numFmtId="0" fontId="0" fillId="0" borderId="0" xfId="0" applyAlignment="1">
      <alignment horizontal="left" indent="1"/>
    </xf>
    <xf numFmtId="165" fontId="4" fillId="0" borderId="0" xfId="1" applyNumberFormat="1" applyFont="1"/>
    <xf numFmtId="166" fontId="4" fillId="0" borderId="0" xfId="1" applyNumberFormat="1" applyFont="1"/>
    <xf numFmtId="0" fontId="4" fillId="0" borderId="0" xfId="0" applyFont="1"/>
    <xf numFmtId="0" fontId="0" fillId="3" borderId="0" xfId="0" applyFill="1"/>
    <xf numFmtId="0" fontId="0" fillId="2" borderId="0" xfId="0" applyFill="1"/>
    <xf numFmtId="9" fontId="9" fillId="2" borderId="0" xfId="2" applyFont="1" applyFill="1" applyBorder="1" applyAlignment="1">
      <alignment horizontal="center"/>
    </xf>
    <xf numFmtId="9" fontId="8" fillId="2" borderId="0" xfId="2" applyFont="1" applyFill="1" applyBorder="1" applyAlignment="1">
      <alignment horizontal="center"/>
    </xf>
    <xf numFmtId="0" fontId="3" fillId="2" borderId="0" xfId="0" applyFont="1" applyFill="1" applyAlignment="1">
      <alignment vertical="top" wrapText="1"/>
    </xf>
    <xf numFmtId="9" fontId="0" fillId="2" borderId="0" xfId="0" applyNumberFormat="1" applyFill="1"/>
    <xf numFmtId="0" fontId="0" fillId="4" borderId="0" xfId="0" applyFill="1"/>
    <xf numFmtId="0" fontId="5" fillId="4" borderId="0" xfId="0" applyFont="1" applyFill="1" applyAlignment="1">
      <alignment horizontal="left" vertical="center"/>
    </xf>
    <xf numFmtId="0" fontId="2" fillId="4" borderId="0" xfId="0" applyFont="1" applyFill="1"/>
    <xf numFmtId="0" fontId="10" fillId="0" borderId="0" xfId="0" applyFont="1"/>
    <xf numFmtId="0" fontId="0" fillId="0" borderId="0" xfId="0" applyAlignment="1">
      <alignment wrapText="1"/>
    </xf>
    <xf numFmtId="0" fontId="0" fillId="6" borderId="0" xfId="0" applyFill="1"/>
    <xf numFmtId="9" fontId="7" fillId="6" borderId="0" xfId="2" applyFont="1" applyFill="1" applyBorder="1" applyAlignment="1">
      <alignment horizontal="center" vertical="center"/>
    </xf>
    <xf numFmtId="9" fontId="11" fillId="6" borderId="0" xfId="0" applyNumberFormat="1" applyFont="1" applyFill="1"/>
    <xf numFmtId="9" fontId="3" fillId="6" borderId="0" xfId="0" applyNumberFormat="1" applyFont="1" applyFill="1"/>
    <xf numFmtId="0" fontId="0" fillId="7" borderId="0" xfId="0" applyFill="1"/>
    <xf numFmtId="0" fontId="0" fillId="8" borderId="0" xfId="0" applyFill="1"/>
    <xf numFmtId="164" fontId="0" fillId="0" borderId="0" xfId="0" applyNumberFormat="1"/>
    <xf numFmtId="9" fontId="0" fillId="0" borderId="0" xfId="2" applyFont="1"/>
    <xf numFmtId="1" fontId="0" fillId="0" borderId="0" xfId="0" applyNumberFormat="1"/>
    <xf numFmtId="167" fontId="0" fillId="0" borderId="0" xfId="0" applyNumberFormat="1"/>
    <xf numFmtId="165" fontId="0" fillId="0" borderId="0" xfId="1" applyNumberFormat="1" applyFont="1"/>
    <xf numFmtId="166" fontId="12" fillId="0" borderId="0" xfId="1" applyNumberFormat="1" applyFont="1"/>
    <xf numFmtId="0" fontId="12" fillId="0" borderId="0" xfId="0" applyFont="1"/>
    <xf numFmtId="0" fontId="0" fillId="4" borderId="0" xfId="0" applyFill="1"/>
    <xf numFmtId="0" fontId="0" fillId="0" borderId="0" xfId="0"/>
    <xf numFmtId="0" fontId="13" fillId="2" borderId="0" xfId="0" applyFont="1" applyFill="1"/>
    <xf numFmtId="0" fontId="0" fillId="0" borderId="0" xfId="0"/>
    <xf numFmtId="0" fontId="5" fillId="2" borderId="0" xfId="0" applyFont="1" applyFill="1" applyAlignment="1">
      <alignment vertical="center"/>
    </xf>
    <xf numFmtId="9" fontId="9" fillId="2" borderId="0" xfId="2" applyNumberFormat="1" applyFont="1" applyFill="1" applyBorder="1" applyAlignment="1">
      <alignment vertical="center"/>
    </xf>
    <xf numFmtId="9" fontId="14" fillId="2" borderId="0" xfId="2" applyNumberFormat="1" applyFont="1" applyFill="1" applyBorder="1" applyAlignment="1">
      <alignment vertical="center"/>
    </xf>
    <xf numFmtId="0" fontId="13" fillId="4" borderId="0" xfId="0" applyFont="1" applyFill="1"/>
    <xf numFmtId="0" fontId="13" fillId="5" borderId="0" xfId="0" applyFont="1" applyFill="1"/>
    <xf numFmtId="0" fontId="13" fillId="9" borderId="0" xfId="0" applyFont="1" applyFill="1"/>
    <xf numFmtId="0" fontId="16" fillId="9" borderId="0" xfId="0" applyFont="1" applyFill="1"/>
    <xf numFmtId="0" fontId="16" fillId="0" borderId="0" xfId="0" applyFont="1"/>
    <xf numFmtId="0" fontId="15" fillId="9" borderId="0" xfId="0" applyFont="1" applyFill="1" applyAlignment="1">
      <alignment horizontal="left" vertical="center"/>
    </xf>
    <xf numFmtId="9" fontId="14" fillId="9" borderId="0" xfId="2" applyFont="1" applyFill="1" applyBorder="1" applyAlignment="1">
      <alignment horizontal="center" vertical="center"/>
    </xf>
    <xf numFmtId="0" fontId="19" fillId="0" borderId="0" xfId="0" applyFont="1"/>
    <xf numFmtId="9" fontId="18" fillId="9" borderId="0" xfId="0" applyNumberFormat="1" applyFont="1" applyFill="1"/>
    <xf numFmtId="0" fontId="13" fillId="6" borderId="0" xfId="0" applyFont="1" applyFill="1"/>
    <xf numFmtId="0" fontId="13" fillId="7" borderId="0" xfId="0" applyFont="1" applyFill="1"/>
    <xf numFmtId="0" fontId="13" fillId="8" borderId="0" xfId="0" applyFont="1" applyFill="1"/>
    <xf numFmtId="0" fontId="16" fillId="6" borderId="0" xfId="0" applyFont="1" applyFill="1"/>
    <xf numFmtId="168" fontId="4" fillId="0" borderId="0" xfId="1" applyNumberFormat="1" applyFont="1"/>
    <xf numFmtId="0" fontId="16" fillId="5" borderId="0" xfId="0" applyFont="1" applyFill="1"/>
    <xf numFmtId="0" fontId="16" fillId="10" borderId="0" xfId="0" applyFont="1" applyFill="1"/>
    <xf numFmtId="0" fontId="13" fillId="10" borderId="0" xfId="0" applyFont="1" applyFill="1"/>
    <xf numFmtId="0" fontId="0" fillId="0" borderId="0" xfId="0" applyFill="1"/>
    <xf numFmtId="0" fontId="0" fillId="0" borderId="0" xfId="0"/>
    <xf numFmtId="0" fontId="3" fillId="2" borderId="0" xfId="0" applyFont="1" applyFill="1" applyAlignment="1">
      <alignment horizontal="center" vertical="top" wrapText="1"/>
    </xf>
    <xf numFmtId="9" fontId="7" fillId="2" borderId="0" xfId="2" applyFont="1" applyFill="1" applyBorder="1" applyAlignment="1">
      <alignment horizontal="center" vertical="center"/>
    </xf>
    <xf numFmtId="0" fontId="3" fillId="2" borderId="0" xfId="0" applyFont="1" applyFill="1" applyAlignment="1">
      <alignment horizontal="left" vertical="top" wrapText="1"/>
    </xf>
    <xf numFmtId="9" fontId="9" fillId="2" borderId="0" xfId="2" applyFont="1" applyFill="1" applyBorder="1" applyAlignment="1">
      <alignment horizontal="right" vertical="center"/>
    </xf>
    <xf numFmtId="9" fontId="18" fillId="4" borderId="0" xfId="2" applyFont="1" applyFill="1" applyBorder="1" applyAlignment="1">
      <alignment horizontal="center" vertical="center"/>
    </xf>
    <xf numFmtId="0" fontId="17" fillId="4" borderId="0" xfId="0" applyFont="1" applyFill="1" applyAlignment="1">
      <alignment horizontal="left" vertical="center"/>
    </xf>
    <xf numFmtId="0" fontId="0" fillId="4" borderId="0" xfId="0" applyFill="1"/>
    <xf numFmtId="0" fontId="0" fillId="0" borderId="0" xfId="0"/>
    <xf numFmtId="0" fontId="15" fillId="4" borderId="0" xfId="0" applyFont="1" applyFill="1" applyAlignment="1">
      <alignment horizontal="left" vertical="center"/>
    </xf>
    <xf numFmtId="167" fontId="18" fillId="9" borderId="0" xfId="2" applyNumberFormat="1" applyFont="1" applyFill="1" applyBorder="1" applyAlignment="1">
      <alignment horizontal="left" vertical="center"/>
    </xf>
    <xf numFmtId="0" fontId="16" fillId="9" borderId="0" xfId="0" applyFont="1" applyFill="1" applyAlignment="1">
      <alignment horizontal="left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6C4F25"/>
      <color rgb="FFFF4B41"/>
      <color rgb="FFFDD7AD"/>
      <color rgb="FFC4B3DB"/>
      <color rgb="FFB12533"/>
      <color rgb="FFA02B93"/>
      <color rgb="FFBF4482"/>
      <color rgb="FF64BCDE"/>
      <color rgb="FF4DA2A2"/>
      <color rgb="FF46295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1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2.xml"/></Relationships>
</file>

<file path=xl/charts/_rels/chart1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3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4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5.xml"/></Relationships>
</file>

<file path=xl/charts/_rels/chart1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7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2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8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0.xml"/></Relationships>
</file>

<file path=xl/charts/_rels/chart2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1.xml"/></Relationships>
</file>

<file path=xl/charts/_rels/chart3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2.xml"/></Relationships>
</file>

<file path=xl/charts/_rels/chart3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4.xml"/></Relationships>
</file>

<file path=xl/charts/_rels/chart3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5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3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6.xml"/></Relationships>
</file>

<file path=xl/charts/_rels/chart3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7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3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9.xml"/></Relationships>
</file>

<file path=xl/charts/_rels/chart3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0.xml"/></Relationships>
</file>

<file path=xl/charts/_rels/chart4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1.xml"/></Relationships>
</file>

<file path=xl/charts/_rels/chart4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2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4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4.xml"/></Relationships>
</file>

<file path=xl/charts/_rels/chart4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6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4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7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009130801354388"/>
          <c:y val="4.5732585607559204E-2"/>
          <c:w val="0.80007984123238285"/>
          <c:h val="0.92377902398740153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E4B-422E-B1D3-0A6A092C6DAC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E4B-422E-B1D3-0A6A092C6DAC}"/>
              </c:ext>
            </c:extLst>
          </c:dPt>
          <c:val>
            <c:numRef>
              <c:f>data!$C$7:$D$7</c:f>
              <c:numCache>
                <c:formatCode>_(* #,##0.0_);_(* \(#,##0.0\);_(* "-"??_);_(@_)</c:formatCode>
                <c:ptCount val="2"/>
                <c:pt idx="0">
                  <c:v>77.429234556296095</c:v>
                </c:pt>
                <c:pt idx="1">
                  <c:v>22.570765443703905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E4B-422E-B1D3-0A6A092C6D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3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683282627575736E-2"/>
          <c:y val="0.17499990813653116"/>
          <c:w val="0.83305486365132042"/>
          <c:h val="0.69666682589667928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data!$C$3</c:f>
              <c:numCache>
                <c:formatCode>_(* #,##0_);_(* \(#,##0\);_(* "-"??_);_(@_)</c:formatCode>
                <c:ptCount val="1"/>
                <c:pt idx="0">
                  <c:v>10.7647579325821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DF-42EE-B218-69216AA71830}"/>
            </c:ext>
          </c:extLst>
        </c:ser>
        <c:ser>
          <c:idx val="1"/>
          <c:order val="1"/>
          <c:spPr>
            <a:solidFill>
              <a:schemeClr val="bg1"/>
            </a:solidFill>
            <a:ln>
              <a:noFill/>
            </a:ln>
            <a:effectLst/>
          </c:spPr>
          <c:invertIfNegative val="0"/>
          <c:val>
            <c:numRef>
              <c:f>data!$D$3</c:f>
              <c:numCache>
                <c:formatCode>_(* #,##0_);_(* \(#,##0\);_(* "-"??_);_(@_)</c:formatCode>
                <c:ptCount val="1"/>
                <c:pt idx="0">
                  <c:v>89.2352420674179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DF-42EE-B218-69216AA718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952308064"/>
        <c:axId val="1952311424"/>
      </c:barChart>
      <c:catAx>
        <c:axId val="1952308064"/>
        <c:scaling>
          <c:orientation val="minMax"/>
        </c:scaling>
        <c:delete val="1"/>
        <c:axPos val="l"/>
        <c:majorTickMark val="none"/>
        <c:minorTickMark val="none"/>
        <c:tickLblPos val="nextTo"/>
        <c:crossAx val="1952311424"/>
        <c:crosses val="autoZero"/>
        <c:auto val="1"/>
        <c:lblAlgn val="ctr"/>
        <c:lblOffset val="100"/>
        <c:noMultiLvlLbl val="0"/>
      </c:catAx>
      <c:valAx>
        <c:axId val="1952311424"/>
        <c:scaling>
          <c:orientation val="minMax"/>
          <c:max val="100"/>
          <c:min val="0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_);_(* \(#,##0\);_(* &quot;-&quot;??_);_(@_)" sourceLinked="1"/>
        <c:majorTickMark val="out"/>
        <c:minorTickMark val="none"/>
        <c:tickLblPos val="nextTo"/>
        <c:crossAx val="1952308064"/>
        <c:crosses val="autoZero"/>
        <c:crossBetween val="between"/>
        <c:minorUnit val="10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3.8397573958666401E-2"/>
          <c:w val="0.96665325210585473"/>
          <c:h val="0.91052363801629288"/>
        </c:manualLayout>
      </c:layout>
      <c:doughnutChart>
        <c:varyColors val="1"/>
        <c:ser>
          <c:idx val="0"/>
          <c:order val="0"/>
          <c:spPr>
            <a:ln w="19050">
              <a:solidFill>
                <a:schemeClr val="lt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D45E-F648-A983-2574A5C0270B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D45E-F648-A983-2574A5C0270B}"/>
              </c:ext>
            </c:extLst>
          </c:dPt>
          <c:val>
            <c:numRef>
              <c:f>data!$C$4:$D$4</c:f>
              <c:numCache>
                <c:formatCode>_(* #,##0.0_);_(* \(#,##0.0\);_(* "-"??_);_(@_)</c:formatCode>
                <c:ptCount val="2"/>
                <c:pt idx="0">
                  <c:v>16.399999999999999</c:v>
                </c:pt>
                <c:pt idx="1">
                  <c:v>83.6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45E-F648-A983-2574A5C027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3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4.5171335408725005E-2"/>
          <c:w val="0.98710394043881766"/>
          <c:h val="0.92571253903806983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7DD-4BDF-9C23-EE4D29AD969B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7DD-4BDF-9C23-EE4D29AD969B}"/>
              </c:ext>
            </c:extLst>
          </c:dPt>
          <c:val>
            <c:numRef>
              <c:f>data!$C$5:$D$5</c:f>
              <c:numCache>
                <c:formatCode>_(* #,##0.0_);_(* \(#,##0.0\);_(* "-"??_);_(@_)</c:formatCode>
                <c:ptCount val="2"/>
                <c:pt idx="0">
                  <c:v>0.4</c:v>
                </c:pt>
                <c:pt idx="1">
                  <c:v>99.6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7DD-4BDF-9C23-EE4D29AD96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3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077225334312829E-2"/>
          <c:y val="4.5171335408725005E-2"/>
          <c:w val="0.82370480550760439"/>
          <c:h val="0.95482866459127502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662-42D8-B0A8-4182476A2A70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662-42D8-B0A8-4182476A2A70}"/>
              </c:ext>
            </c:extLst>
          </c:dPt>
          <c:val>
            <c:numRef>
              <c:f>data!$C$8:$D$8</c:f>
              <c:numCache>
                <c:formatCode>_(* #,##0.0_);_(* \(#,##0.0\);_(* "-"??_);_(@_)</c:formatCode>
                <c:ptCount val="2"/>
                <c:pt idx="0">
                  <c:v>82.515702352568695</c:v>
                </c:pt>
                <c:pt idx="1">
                  <c:v>17.484297647431305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662-42D8-B0A8-4182476A2A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3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077225334312829E-2"/>
          <c:y val="4.5171335408725005E-2"/>
          <c:w val="0.82370480550760439"/>
          <c:h val="0.95482866459127502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612-4A41-B175-5E7211396D46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612-4A41-B175-5E7211396D46}"/>
              </c:ext>
            </c:extLst>
          </c:dPt>
          <c:val>
            <c:numRef>
              <c:f>data!$C$9:$D$9</c:f>
              <c:numCache>
                <c:formatCode>_(* #,##0.0_);_(* \(#,##0.0\);_(* "-"??_);_(@_)</c:formatCode>
                <c:ptCount val="2"/>
                <c:pt idx="0">
                  <c:v>15.418665007707899</c:v>
                </c:pt>
                <c:pt idx="1">
                  <c:v>84.581334992292099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612-4A41-B175-5E7211396D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3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077225334312829E-2"/>
          <c:y val="4.5171335408725005E-2"/>
          <c:w val="0.82370480550760439"/>
          <c:h val="0.95482866459127502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09C-462E-8861-C055FFF42161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09C-462E-8861-C055FFF42161}"/>
              </c:ext>
            </c:extLst>
          </c:dPt>
          <c:val>
            <c:numRef>
              <c:f>data!$C$10:$D$10</c:f>
              <c:numCache>
                <c:formatCode>_(* #,##0.0_);_(* \(#,##0.0\);_(* "-"??_);_(@_)</c:formatCode>
                <c:ptCount val="2"/>
                <c:pt idx="0">
                  <c:v>9.5096432821885699</c:v>
                </c:pt>
                <c:pt idx="1">
                  <c:v>90.490356717811437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09C-462E-8861-C055FFF421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3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5566812168348615E-2"/>
          <c:y val="8.6662365850058209E-2"/>
          <c:w val="0.82771418434418886"/>
          <c:h val="0.94965687907117247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3DA-4459-8D67-8C092A7453AC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3DA-4459-8D67-8C092A7453AC}"/>
              </c:ext>
            </c:extLst>
          </c:dPt>
          <c:val>
            <c:numRef>
              <c:f>data!$C$11:$D$11</c:f>
              <c:numCache>
                <c:formatCode>_(* #,##0.0_);_(* \(#,##0.0\);_(* "-"??_);_(@_)</c:formatCode>
                <c:ptCount val="2"/>
                <c:pt idx="0">
                  <c:v>15.843615169165201</c:v>
                </c:pt>
                <c:pt idx="1">
                  <c:v>84.156384830834796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3DA-4459-8D67-8C092A7453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3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07753323808249E-2"/>
          <c:y val="3.9542846654578023E-2"/>
          <c:w val="0.82370480550760439"/>
          <c:h val="0.95482866459127502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13F-4DE4-8A39-53147FA69B37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13F-4DE4-8A39-53147FA69B37}"/>
              </c:ext>
            </c:extLst>
          </c:dPt>
          <c:val>
            <c:numRef>
              <c:f>data!$C$12:$D$12</c:f>
              <c:numCache>
                <c:formatCode>_(* #,##0.0_);_(* \(#,##0.0\);_(* "-"??_);_(@_)</c:formatCode>
                <c:ptCount val="2"/>
                <c:pt idx="0">
                  <c:v>15.2479618529867</c:v>
                </c:pt>
                <c:pt idx="1">
                  <c:v>84.752038147013295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13F-4DE4-8A39-53147FA69B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3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683282627575736E-2"/>
          <c:y val="0.17499990813653116"/>
          <c:w val="0.84465224117025617"/>
          <c:h val="0.69666682589667928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rgbClr val="3F6AA0"/>
            </a:solidFill>
            <a:ln>
              <a:noFill/>
            </a:ln>
            <a:effectLst/>
          </c:spPr>
          <c:invertIfNegative val="0"/>
          <c:val>
            <c:numRef>
              <c:f>data!$C$15</c:f>
              <c:numCache>
                <c:formatCode>_(* #,##0.0_);_(* \(#,##0.0\);_(* "-"??_);_(@_)</c:formatCode>
                <c:ptCount val="1"/>
                <c:pt idx="0">
                  <c:v>1.2447157214614901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6D-4FE9-AC75-F216EE80CA99}"/>
            </c:ext>
          </c:extLst>
        </c:ser>
        <c:ser>
          <c:idx val="1"/>
          <c:order val="1"/>
          <c:spPr>
            <a:solidFill>
              <a:schemeClr val="bg1"/>
            </a:solidFill>
            <a:ln>
              <a:noFill/>
            </a:ln>
            <a:effectLst/>
          </c:spPr>
          <c:invertIfNegative val="0"/>
          <c:val>
            <c:numRef>
              <c:f>data!$D$15</c:f>
              <c:numCache>
                <c:formatCode>_(* #,##0.0_);_(* \(#,##0.0\);_(* "-"??_);_(@_)</c:formatCode>
                <c:ptCount val="1"/>
                <c:pt idx="0">
                  <c:v>98.755284278538511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6D-4FE9-AC75-F216EE80CA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952308064"/>
        <c:axId val="1952311424"/>
      </c:barChart>
      <c:catAx>
        <c:axId val="1952308064"/>
        <c:scaling>
          <c:orientation val="minMax"/>
        </c:scaling>
        <c:delete val="1"/>
        <c:axPos val="l"/>
        <c:majorTickMark val="none"/>
        <c:minorTickMark val="none"/>
        <c:tickLblPos val="nextTo"/>
        <c:crossAx val="1952311424"/>
        <c:crosses val="autoZero"/>
        <c:auto val="1"/>
        <c:lblAlgn val="ctr"/>
        <c:lblOffset val="100"/>
        <c:noMultiLvlLbl val="0"/>
      </c:catAx>
      <c:valAx>
        <c:axId val="1952311424"/>
        <c:scaling>
          <c:orientation val="minMax"/>
          <c:max val="100"/>
          <c:min val="0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.0_);_(* \(#,##0.0\);_(* &quot;-&quot;??_);_(@_)" sourceLinked="1"/>
        <c:majorTickMark val="out"/>
        <c:minorTickMark val="none"/>
        <c:tickLblPos val="nextTo"/>
        <c:crossAx val="1952308064"/>
        <c:crosses val="autoZero"/>
        <c:crossBetween val="between"/>
        <c:minorUnit val="10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683282627575736E-2"/>
          <c:y val="0.17499990813653116"/>
          <c:w val="0.84465224117025617"/>
          <c:h val="0.69666682589667928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rgbClr val="6C4F25"/>
            </a:solidFill>
            <a:ln>
              <a:noFill/>
            </a:ln>
            <a:effectLst/>
          </c:spPr>
          <c:invertIfNegative val="0"/>
          <c:val>
            <c:numRef>
              <c:f>data!$C$19</c:f>
              <c:numCache>
                <c:formatCode>_(* #,##0_);_(* \(#,##0\);_(* "-"??_);_(@_)</c:formatCode>
                <c:ptCount val="1"/>
                <c:pt idx="0">
                  <c:v>1.4477027660707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71-6A4F-B62C-698520366B42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171-6A4F-B62C-698520366B42}"/>
              </c:ext>
            </c:extLst>
          </c:dPt>
          <c:val>
            <c:numRef>
              <c:f>data!$D$19</c:f>
              <c:numCache>
                <c:formatCode>_(* #,##0_);_(* \(#,##0\);_(* "-"??_);_(@_)</c:formatCode>
                <c:ptCount val="1"/>
                <c:pt idx="0">
                  <c:v>98.552297233929295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71-6A4F-B62C-698520366B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952308064"/>
        <c:axId val="1952311424"/>
      </c:barChart>
      <c:catAx>
        <c:axId val="1952308064"/>
        <c:scaling>
          <c:orientation val="minMax"/>
        </c:scaling>
        <c:delete val="1"/>
        <c:axPos val="l"/>
        <c:majorTickMark val="none"/>
        <c:minorTickMark val="none"/>
        <c:tickLblPos val="nextTo"/>
        <c:crossAx val="1952311424"/>
        <c:crosses val="autoZero"/>
        <c:auto val="1"/>
        <c:lblAlgn val="ctr"/>
        <c:lblOffset val="100"/>
        <c:noMultiLvlLbl val="0"/>
      </c:catAx>
      <c:valAx>
        <c:axId val="1952311424"/>
        <c:scaling>
          <c:orientation val="minMax"/>
          <c:max val="100"/>
          <c:min val="0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_);_(* \(#,##0\);_(* &quot;-&quot;??_);_(@_)" sourceLinked="1"/>
        <c:majorTickMark val="out"/>
        <c:minorTickMark val="none"/>
        <c:tickLblPos val="nextTo"/>
        <c:crossAx val="1952308064"/>
        <c:crosses val="autoZero"/>
        <c:crossBetween val="between"/>
        <c:minorUnit val="10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077225334312829E-2"/>
          <c:y val="4.5171335408725005E-2"/>
          <c:w val="0.82370480550760439"/>
          <c:h val="0.95482866459127502"/>
        </c:manualLayout>
      </c:layout>
      <c:doughnut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63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683282627575736E-2"/>
          <c:y val="0.17499990813653116"/>
          <c:w val="0.84465224117025617"/>
          <c:h val="0.69666682589667928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rgbClr val="890B0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6C4F2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24A4-F74D-A407-F1CA4EDC66AE}"/>
              </c:ext>
            </c:extLst>
          </c:dPt>
          <c:val>
            <c:numRef>
              <c:f>data!$C$25</c:f>
              <c:numCache>
                <c:formatCode>_(* #,##0_);_(* \(#,##0\);_(* "-"??_);_(@_)</c:formatCode>
                <c:ptCount val="1"/>
                <c:pt idx="0">
                  <c:v>96.3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4A4-F74D-A407-F1CA4EDC66AE}"/>
            </c:ext>
          </c:extLst>
        </c:ser>
        <c:ser>
          <c:idx val="1"/>
          <c:order val="1"/>
          <c:spPr>
            <a:solidFill>
              <a:schemeClr val="bg1"/>
            </a:solidFill>
            <a:ln>
              <a:noFill/>
            </a:ln>
            <a:effectLst/>
          </c:spPr>
          <c:invertIfNegative val="0"/>
          <c:val>
            <c:numRef>
              <c:f>data!$D$25</c:f>
              <c:numCache>
                <c:formatCode>_(* #,##0_);_(* \(#,##0\);_(* "-"??_);_(@_)</c:formatCode>
                <c:ptCount val="1"/>
                <c:pt idx="0">
                  <c:v>3.7000000000000028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4A4-F74D-A407-F1CA4EDC66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952308064"/>
        <c:axId val="1952311424"/>
      </c:barChart>
      <c:catAx>
        <c:axId val="1952308064"/>
        <c:scaling>
          <c:orientation val="minMax"/>
        </c:scaling>
        <c:delete val="1"/>
        <c:axPos val="l"/>
        <c:majorTickMark val="none"/>
        <c:minorTickMark val="none"/>
        <c:tickLblPos val="nextTo"/>
        <c:crossAx val="1952311424"/>
        <c:crosses val="autoZero"/>
        <c:auto val="1"/>
        <c:lblAlgn val="ctr"/>
        <c:lblOffset val="100"/>
        <c:noMultiLvlLbl val="0"/>
      </c:catAx>
      <c:valAx>
        <c:axId val="1952311424"/>
        <c:scaling>
          <c:orientation val="minMax"/>
          <c:max val="100"/>
          <c:min val="0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_);_(* \(#,##0\);_(* &quot;-&quot;??_);_(@_)" sourceLinked="1"/>
        <c:majorTickMark val="out"/>
        <c:minorTickMark val="none"/>
        <c:tickLblPos val="nextTo"/>
        <c:crossAx val="1952308064"/>
        <c:crosses val="autoZero"/>
        <c:crossBetween val="between"/>
        <c:minorUnit val="10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1372735938989513E-2"/>
          <c:y val="9.0726707983336291E-2"/>
          <c:w val="0.83151981478959558"/>
          <c:h val="0.81501201992063244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6C4F2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15D-1941-81FD-AB03FF0D1F6E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15D-1941-81FD-AB03FF0D1F6E}"/>
              </c:ext>
            </c:extLst>
          </c:dPt>
          <c:val>
            <c:numRef>
              <c:f>data!$C$20:$D$20</c:f>
              <c:numCache>
                <c:formatCode>_(* #,##0.0_);_(* \(#,##0.0\);_(* "-"??_);_(@_)</c:formatCode>
                <c:ptCount val="2"/>
                <c:pt idx="0">
                  <c:v>2.1</c:v>
                </c:pt>
                <c:pt idx="1">
                  <c:v>97.9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15D-1941-81FD-AB03FF0D1F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9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077225334312829E-2"/>
          <c:y val="4.5171335408725005E-2"/>
          <c:w val="0.82370480550760439"/>
          <c:h val="0.95482866459127502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6C4F2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8F7-2348-B573-B891CB55899C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8F7-2348-B573-B891CB55899C}"/>
              </c:ext>
            </c:extLst>
          </c:dPt>
          <c:val>
            <c:numRef>
              <c:f>data!$C$21:$D$21</c:f>
              <c:numCache>
                <c:formatCode>_(* #,##0.0_);_(* \(#,##0.0\);_(* "-"??_);_(@_)</c:formatCode>
                <c:ptCount val="2"/>
                <c:pt idx="0">
                  <c:v>0.3</c:v>
                </c:pt>
                <c:pt idx="1">
                  <c:v>99.7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8F7-2348-B573-B891CB5589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9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077225334312829E-2"/>
          <c:y val="4.5171335408725005E-2"/>
          <c:w val="0.82370480550760439"/>
          <c:h val="0.95482866459127502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6C4F2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2D0-B344-80F4-3D7FAD1AE266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2D0-B344-80F4-3D7FAD1AE266}"/>
              </c:ext>
            </c:extLst>
          </c:dPt>
          <c:val>
            <c:numRef>
              <c:f>data!$C$23:$D$23</c:f>
              <c:numCache>
                <c:formatCode>_(* #,##0.0_);_(* \(#,##0.0\);_(* "-"??_);_(@_)</c:formatCode>
                <c:ptCount val="2"/>
                <c:pt idx="0">
                  <c:v>1.6</c:v>
                </c:pt>
                <c:pt idx="1">
                  <c:v>98.4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2D0-B344-80F4-3D7FAD1AE2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9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077225334312829E-2"/>
          <c:y val="0.1601659185884538"/>
          <c:w val="0.87534502715697626"/>
          <c:h val="0.68167280606717229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6C4F2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C6C-1B46-A6CC-70CA137F70A5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C6C-1B46-A6CC-70CA137F70A5}"/>
              </c:ext>
            </c:extLst>
          </c:dPt>
          <c:val>
            <c:numRef>
              <c:f>data!$C$22:$D$22</c:f>
              <c:numCache>
                <c:formatCode>_(* #,##0.0_);_(* \(#,##0.0\);_(* "-"??_);_(@_)</c:formatCode>
                <c:ptCount val="2"/>
                <c:pt idx="0">
                  <c:v>1.5</c:v>
                </c:pt>
                <c:pt idx="1">
                  <c:v>98.5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C6C-1B46-A6CC-70CA137F70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9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076969999445468E-2"/>
          <c:y val="0.1391014895871642"/>
          <c:w val="0.86046422799559985"/>
          <c:h val="0.80153052963225824"/>
        </c:manualLayout>
      </c:layout>
      <c:doughnutChart>
        <c:varyColors val="1"/>
        <c:ser>
          <c:idx val="0"/>
          <c:order val="0"/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rgbClr val="BF4482"/>
              </a:solidFill>
              <a:ln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5E43-4CDE-A985-2CF72CC42BF3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5E43-4CDE-A985-2CF72CC42BF3}"/>
              </c:ext>
            </c:extLst>
          </c:dPt>
          <c:val>
            <c:numRef>
              <c:f>data!$C$35:$D$35</c:f>
              <c:numCache>
                <c:formatCode>_(* #,##0_);_(* \(#,##0\);_(* "-"??_);_(@_)</c:formatCode>
                <c:ptCount val="2"/>
                <c:pt idx="0" formatCode="General">
                  <c:v>65</c:v>
                </c:pt>
                <c:pt idx="1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E43-4CDE-A985-2CF72CC42B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9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683282627575736E-2"/>
          <c:y val="9.6244033195509629E-2"/>
          <c:w val="0.90546866463306064"/>
          <c:h val="0.77542335437121224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rgbClr val="BF448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BF448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FD3F-A341-BD7D-69B74BBDEBAB}"/>
              </c:ext>
            </c:extLst>
          </c:dPt>
          <c:val>
            <c:numRef>
              <c:f>data!$C$33</c:f>
              <c:numCache>
                <c:formatCode>_(* #,##0_);_(* \(#,##0\);_(* "-"??_);_(@_)</c:formatCode>
                <c:ptCount val="1"/>
                <c:pt idx="0">
                  <c:v>65.714285714285708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FD3F-A341-BD7D-69B74BBDEBAB}"/>
            </c:ext>
          </c:extLst>
        </c:ser>
        <c:ser>
          <c:idx val="1"/>
          <c:order val="1"/>
          <c:spPr>
            <a:solidFill>
              <a:schemeClr val="bg1"/>
            </a:solidFill>
            <a:ln>
              <a:noFill/>
            </a:ln>
            <a:effectLst/>
          </c:spPr>
          <c:invertIfNegative val="0"/>
          <c:val>
            <c:numRef>
              <c:f>data!$D$33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16-FD3F-A341-BD7D-69B74BBDEB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952308064"/>
        <c:axId val="1952311424"/>
      </c:barChart>
      <c:catAx>
        <c:axId val="1952308064"/>
        <c:scaling>
          <c:orientation val="minMax"/>
        </c:scaling>
        <c:delete val="1"/>
        <c:axPos val="l"/>
        <c:majorTickMark val="none"/>
        <c:minorTickMark val="none"/>
        <c:tickLblPos val="nextTo"/>
        <c:crossAx val="1952311424"/>
        <c:crosses val="autoZero"/>
        <c:auto val="1"/>
        <c:lblAlgn val="ctr"/>
        <c:lblOffset val="100"/>
        <c:noMultiLvlLbl val="0"/>
      </c:catAx>
      <c:valAx>
        <c:axId val="1952311424"/>
        <c:scaling>
          <c:orientation val="minMax"/>
          <c:max val="100"/>
          <c:min val="0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_);_(* \(#,##0\);_(* &quot;-&quot;??_);_(@_)" sourceLinked="1"/>
        <c:majorTickMark val="out"/>
        <c:minorTickMark val="none"/>
        <c:tickLblPos val="nextTo"/>
        <c:crossAx val="1952308064"/>
        <c:crosses val="autoZero"/>
        <c:crossBetween val="between"/>
        <c:minorUnit val="10"/>
      </c:valAx>
      <c:spPr>
        <a:solidFill>
          <a:schemeClr val="bg1"/>
        </a:solidFill>
        <a:ln w="25400"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683282627575736E-2"/>
          <c:y val="0.17499990813653116"/>
          <c:w val="0.84936779266183515"/>
          <c:h val="0.69666682589667928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rgbClr val="BF448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BF448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4E22-274C-8C73-57C71E686A53}"/>
              </c:ext>
            </c:extLst>
          </c:dPt>
          <c:val>
            <c:numRef>
              <c:f>data!$C$34</c:f>
              <c:numCache>
                <c:formatCode>_(* #,##0_);_(* \(#,##0\);_(* "-"??_);_(@_)</c:formatCode>
                <c:ptCount val="1"/>
                <c:pt idx="0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E22-274C-8C73-57C71E686A53}"/>
            </c:ext>
          </c:extLst>
        </c:ser>
        <c:ser>
          <c:idx val="1"/>
          <c:order val="1"/>
          <c:spPr>
            <a:solidFill>
              <a:schemeClr val="bg1"/>
            </a:solidFill>
            <a:ln>
              <a:noFill/>
            </a:ln>
            <a:effectLst/>
          </c:spPr>
          <c:invertIfNegative val="0"/>
          <c:val>
            <c:numRef>
              <c:f>data!$D$33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9-4E22-274C-8C73-57C71E686A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952308064"/>
        <c:axId val="1952311424"/>
      </c:barChart>
      <c:catAx>
        <c:axId val="1952308064"/>
        <c:scaling>
          <c:orientation val="minMax"/>
        </c:scaling>
        <c:delete val="1"/>
        <c:axPos val="l"/>
        <c:majorTickMark val="none"/>
        <c:minorTickMark val="none"/>
        <c:tickLblPos val="nextTo"/>
        <c:crossAx val="1952311424"/>
        <c:crosses val="autoZero"/>
        <c:auto val="1"/>
        <c:lblAlgn val="ctr"/>
        <c:lblOffset val="100"/>
        <c:noMultiLvlLbl val="0"/>
      </c:catAx>
      <c:valAx>
        <c:axId val="1952311424"/>
        <c:scaling>
          <c:orientation val="minMax"/>
          <c:max val="100"/>
          <c:min val="0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_);_(* \(#,##0\);_(* &quot;-&quot;??_);_(@_)" sourceLinked="1"/>
        <c:majorTickMark val="out"/>
        <c:minorTickMark val="none"/>
        <c:tickLblPos val="nextTo"/>
        <c:crossAx val="1952308064"/>
        <c:crosses val="autoZero"/>
        <c:crossBetween val="between"/>
        <c:minorUnit val="10"/>
      </c:valAx>
      <c:spPr>
        <a:solidFill>
          <a:schemeClr val="bg1"/>
        </a:solidFill>
        <a:ln w="25400"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077225334312829E-2"/>
          <c:y val="0.11028166648255114"/>
          <c:w val="0.86046422799559985"/>
          <c:h val="0.80153052963225824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BF448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DFB-8844-AA2C-96188463AD6A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DFB-8844-AA2C-96188463AD6A}"/>
              </c:ext>
            </c:extLst>
          </c:dPt>
          <c:val>
            <c:numRef>
              <c:f>data!$C$36:$D$36</c:f>
              <c:numCache>
                <c:formatCode>_(* #,##0_);_(* \(#,##0\);_(* "-"??_);_(@_)</c:formatCode>
                <c:ptCount val="2"/>
                <c:pt idx="0">
                  <c:v>8.1973191506034304</c:v>
                </c:pt>
                <c:pt idx="1">
                  <c:v>91.802680849396566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DFB-8844-AA2C-96188463AD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9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683282627575736E-2"/>
          <c:y val="0.17499990813653116"/>
          <c:w val="0.84465224117025617"/>
          <c:h val="0.69666682589667928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rgbClr val="BF4482"/>
            </a:solidFill>
            <a:ln>
              <a:noFill/>
            </a:ln>
            <a:effectLst/>
          </c:spPr>
          <c:invertIfNegative val="0"/>
          <c:val>
            <c:numRef>
              <c:f>data!$C$37</c:f>
              <c:numCache>
                <c:formatCode>_(* #,##0.0_);_(* \(#,##0.0\);_(* "-"??_);_(@_)</c:formatCode>
                <c:ptCount val="1"/>
                <c:pt idx="0">
                  <c:v>15.486217632726602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8C-884F-B584-CAB82694D2ED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72A3-4B5A-9352-56A44CC832B4}"/>
              </c:ext>
            </c:extLst>
          </c:dPt>
          <c:val>
            <c:numRef>
              <c:f>data!$D$37</c:f>
              <c:numCache>
                <c:formatCode>_(* #,##0.0_);_(* \(#,##0.0\);_(* "-"??_);_(@_)</c:formatCode>
                <c:ptCount val="1"/>
                <c:pt idx="0">
                  <c:v>84.513782367273393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8C-884F-B584-CAB82694D2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952308064"/>
        <c:axId val="1952311424"/>
      </c:barChart>
      <c:catAx>
        <c:axId val="1952308064"/>
        <c:scaling>
          <c:orientation val="minMax"/>
        </c:scaling>
        <c:delete val="1"/>
        <c:axPos val="l"/>
        <c:majorTickMark val="none"/>
        <c:minorTickMark val="none"/>
        <c:tickLblPos val="nextTo"/>
        <c:crossAx val="1952311424"/>
        <c:crosses val="autoZero"/>
        <c:auto val="1"/>
        <c:lblAlgn val="ctr"/>
        <c:lblOffset val="100"/>
        <c:noMultiLvlLbl val="0"/>
      </c:catAx>
      <c:valAx>
        <c:axId val="1952311424"/>
        <c:scaling>
          <c:orientation val="minMax"/>
          <c:max val="100"/>
          <c:min val="0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.0_);_(* \(#,##0.0\);_(* &quot;-&quot;??_);_(@_)" sourceLinked="1"/>
        <c:majorTickMark val="out"/>
        <c:minorTickMark val="none"/>
        <c:tickLblPos val="nextTo"/>
        <c:crossAx val="1952308064"/>
        <c:crosses val="autoZero"/>
        <c:crossBetween val="between"/>
        <c:minorUnit val="10"/>
      </c:valAx>
      <c:spPr>
        <a:solidFill>
          <a:schemeClr val="bg1"/>
        </a:solidFill>
        <a:ln w="25400"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764514668817607"/>
          <c:y val="0.2959296383523034"/>
          <c:w val="0.84465224117025617"/>
          <c:h val="0.69666682589667928"/>
        </c:manualLayout>
      </c:layout>
      <c:doughnutChart>
        <c:varyColors val="1"/>
        <c:ser>
          <c:idx val="1"/>
          <c:order val="0"/>
          <c:spPr>
            <a:solidFill>
              <a:srgbClr val="64BCDE"/>
            </a:solidFill>
            <a:ln w="19050">
              <a:solidFill>
                <a:schemeClr val="lt1"/>
              </a:solidFill>
            </a:ln>
          </c:spPr>
          <c:dPt>
            <c:idx val="0"/>
            <c:bubble3D val="0"/>
            <c:spPr>
              <a:solidFill>
                <a:srgbClr val="64BCD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7B5-418B-9D53-BF395E5F035B}"/>
              </c:ext>
            </c:extLst>
          </c:dPt>
          <c:dPt>
            <c:idx val="1"/>
            <c:bubble3D val="0"/>
            <c:spPr>
              <a:solidFill>
                <a:schemeClr val="bg1">
                  <a:lumMod val="9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7B5-418B-9D53-BF395E5F035B}"/>
              </c:ext>
            </c:extLst>
          </c:dPt>
          <c:val>
            <c:numRef>
              <c:f>data!$C$45:$D$45</c:f>
              <c:numCache>
                <c:formatCode>_(* #,##0.0_);_(* \(#,##0.0\);_(* "-"??_);_(@_)</c:formatCode>
                <c:ptCount val="2"/>
                <c:pt idx="0">
                  <c:v>36.351765165317801</c:v>
                </c:pt>
                <c:pt idx="1">
                  <c:v>63.648234834682199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7B5-418B-9D53-BF395E5F03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7"/>
      </c:doughnutChart>
      <c:spPr>
        <a:noFill/>
        <a:ln w="25400"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764514668817607"/>
          <c:y val="0.2959296383523034"/>
          <c:w val="0.84465224117025617"/>
          <c:h val="0.69666682589667928"/>
        </c:manualLayout>
      </c:layout>
      <c:doughnutChart>
        <c:varyColors val="1"/>
        <c:ser>
          <c:idx val="1"/>
          <c:order val="0"/>
          <c:dPt>
            <c:idx val="0"/>
            <c:bubble3D val="0"/>
            <c:spPr>
              <a:solidFill>
                <a:srgbClr val="64BCD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1AB-46DA-B8BF-B24A5554D329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1AB-46DA-B8BF-B24A5554D329}"/>
              </c:ext>
            </c:extLst>
          </c:dPt>
          <c:val>
            <c:numRef>
              <c:f>data!$C$44:$D$44</c:f>
              <c:numCache>
                <c:formatCode>_(* #,##0.0_);_(* \(#,##0.0\);_(* "-"??_);_(@_)</c:formatCode>
                <c:ptCount val="2"/>
                <c:pt idx="0">
                  <c:v>23.7527958400077</c:v>
                </c:pt>
                <c:pt idx="1">
                  <c:v>76.247204159992293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1AB-46DA-B8BF-B24A5554D3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7"/>
      </c:doughnutChart>
      <c:spPr>
        <a:noFill/>
        <a:ln w="25400"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683282627575736E-2"/>
          <c:y val="0.17499990813653116"/>
          <c:w val="0.84465224117025617"/>
          <c:h val="0.69666682589667928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rgbClr val="64BCDE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64BCD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103E-9646-88B7-C755C1076F76}"/>
              </c:ext>
            </c:extLst>
          </c:dPt>
          <c:val>
            <c:numRef>
              <c:f>data!$C$41</c:f>
              <c:numCache>
                <c:formatCode>_(* #,##0.0_);_(* \(#,##0.0\);_(* "-"??_);_(@_)</c:formatCode>
                <c:ptCount val="1"/>
                <c:pt idx="0">
                  <c:v>28.2180067039838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03E-9646-88B7-C755C1076F76}"/>
            </c:ext>
          </c:extLst>
        </c:ser>
        <c:ser>
          <c:idx val="1"/>
          <c:order val="1"/>
          <c:spPr>
            <a:solidFill>
              <a:schemeClr val="bg1"/>
            </a:solidFill>
            <a:ln>
              <a:noFill/>
            </a:ln>
            <a:effectLst/>
          </c:spPr>
          <c:invertIfNegative val="0"/>
          <c:val>
            <c:numRef>
              <c:f>data!$D$41</c:f>
              <c:numCache>
                <c:formatCode>_(* #,##0.0_);_(* \(#,##0.0\);_(* "-"??_);_(@_)</c:formatCode>
                <c:ptCount val="1"/>
                <c:pt idx="0">
                  <c:v>71.781993296016196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03E-9646-88B7-C755C1076F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952308064"/>
        <c:axId val="1952311424"/>
      </c:barChart>
      <c:catAx>
        <c:axId val="1952308064"/>
        <c:scaling>
          <c:orientation val="minMax"/>
        </c:scaling>
        <c:delete val="1"/>
        <c:axPos val="l"/>
        <c:majorTickMark val="none"/>
        <c:minorTickMark val="none"/>
        <c:tickLblPos val="nextTo"/>
        <c:crossAx val="1952311424"/>
        <c:crosses val="autoZero"/>
        <c:auto val="1"/>
        <c:lblAlgn val="ctr"/>
        <c:lblOffset val="100"/>
        <c:noMultiLvlLbl val="0"/>
      </c:catAx>
      <c:valAx>
        <c:axId val="1952311424"/>
        <c:scaling>
          <c:orientation val="minMax"/>
          <c:max val="100"/>
          <c:min val="0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.0_);_(* \(#,##0.0\);_(* &quot;-&quot;??_);_(@_)" sourceLinked="1"/>
        <c:majorTickMark val="out"/>
        <c:minorTickMark val="none"/>
        <c:tickLblPos val="nextTo"/>
        <c:crossAx val="1952308064"/>
        <c:crosses val="autoZero"/>
        <c:crossBetween val="between"/>
        <c:minorUnit val="10"/>
      </c:valAx>
      <c:spPr>
        <a:solidFill>
          <a:schemeClr val="bg1"/>
        </a:solidFill>
        <a:ln w="25400"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6764514668817607"/>
          <c:y val="0.2959296383523034"/>
          <c:w val="0.84465224117025617"/>
          <c:h val="0.69666682589667928"/>
        </c:manualLayout>
      </c:layout>
      <c:doughnutChart>
        <c:varyColors val="1"/>
        <c:ser>
          <c:idx val="1"/>
          <c:order val="0"/>
          <c:spPr>
            <a:ln w="19050">
              <a:solidFill>
                <a:schemeClr val="lt1"/>
              </a:solidFill>
            </a:ln>
          </c:spPr>
          <c:dPt>
            <c:idx val="0"/>
            <c:bubble3D val="0"/>
            <c:spPr>
              <a:solidFill>
                <a:srgbClr val="64BCD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B05-4C3E-9D65-38D26B3F3ABA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FF64-4A32-960E-1BC738110210}"/>
              </c:ext>
            </c:extLst>
          </c:dPt>
          <c:val>
            <c:numRef>
              <c:f>data!$C$46:$D$46</c:f>
              <c:numCache>
                <c:formatCode>_(* #,##0.0_);_(* \(#,##0.0\);_(* "-"??_);_(@_)</c:formatCode>
                <c:ptCount val="2"/>
                <c:pt idx="0">
                  <c:v>64.875401320257396</c:v>
                </c:pt>
                <c:pt idx="1">
                  <c:v>35.124598679742604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62F-754D-B5C8-01B1A28A07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7"/>
      </c:doughnutChart>
      <c:spPr>
        <a:noFill/>
        <a:ln w="25400"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45814418024587"/>
          <c:y val="6.3803705638840885E-2"/>
          <c:w val="0.63977167152482817"/>
          <c:h val="0.87239258872231829"/>
        </c:manualLayout>
      </c:layout>
      <c:doughnutChart>
        <c:varyColors val="1"/>
        <c:ser>
          <c:idx val="1"/>
          <c:order val="0"/>
          <c:spPr>
            <a:ln w="19050">
              <a:solidFill>
                <a:schemeClr val="lt1"/>
              </a:solidFill>
            </a:ln>
          </c:spPr>
          <c:dPt>
            <c:idx val="0"/>
            <c:bubble3D val="0"/>
            <c:spPr>
              <a:solidFill>
                <a:srgbClr val="64BCD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26C-4268-897B-B34A935D1752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44FD-4A8D-9BB1-0303B4DB0C6C}"/>
              </c:ext>
            </c:extLst>
          </c:dPt>
          <c:val>
            <c:numRef>
              <c:f>data!$C$48:$D$48</c:f>
              <c:numCache>
                <c:formatCode>_(* #,##0.0_);_(* \(#,##0.0\);_(* "-"??_);_(@_)</c:formatCode>
                <c:ptCount val="2"/>
                <c:pt idx="0" formatCode="#,##0.0_);\(#,##0.0\)">
                  <c:v>52.713003846956994</c:v>
                </c:pt>
                <c:pt idx="1">
                  <c:v>47.286996153043006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3AF-F241-85D0-2E45824587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7"/>
      </c:doughnutChart>
      <c:spPr>
        <a:noFill/>
        <a:ln w="25400">
          <a:noFill/>
        </a:ln>
        <a:effectLst>
          <a:outerShdw blurRad="50800" dist="50800" dir="5400000" sx="30000" sy="30000" algn="ctr" rotWithShape="0">
            <a:srgbClr val="000000">
              <a:alpha val="43137"/>
            </a:srgbClr>
          </a:outerShdw>
        </a:effectLst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9419741911494287E-2"/>
          <c:y val="0.23189323673300208"/>
          <c:w val="0.89659632042709858"/>
          <c:h val="0.66629520450756718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64BCD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9B1-6C45-9924-212BDC501754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9B1-6C45-9924-212BDC501754}"/>
              </c:ext>
            </c:extLst>
          </c:dPt>
          <c:val>
            <c:numRef>
              <c:f>data!$C$47:$D$47</c:f>
              <c:numCache>
                <c:formatCode>_(* #,##0.0_);_(* \(#,##0.0\);_(* "-"??_);_(@_)</c:formatCode>
                <c:ptCount val="2"/>
                <c:pt idx="0">
                  <c:v>91.990563969062904</c:v>
                </c:pt>
                <c:pt idx="1">
                  <c:v>8.0094360309370956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9B1-6C45-9924-212BDC5017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7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077225334312829E-2"/>
          <c:y val="4.5171335408725005E-2"/>
          <c:w val="0.82370480550760439"/>
          <c:h val="0.95482866459127502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64BCD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684-844A-A8FE-AEFA41D58CBB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684-844A-A8FE-AEFA41D58CBB}"/>
              </c:ext>
            </c:extLst>
          </c:dPt>
          <c:val>
            <c:numRef>
              <c:f>data!$C$49:$D$49</c:f>
              <c:numCache>
                <c:formatCode>_(* #,##0.0_);_(* \(#,##0.0\);_(* "-"??_);_(@_)</c:formatCode>
                <c:ptCount val="2"/>
                <c:pt idx="0">
                  <c:v>32.529403957074301</c:v>
                </c:pt>
                <c:pt idx="1">
                  <c:v>67.470596042925706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684-844A-A8FE-AEFA41D58C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7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077225334312829E-2"/>
          <c:y val="4.5171335408725005E-2"/>
          <c:w val="0.82370480550760439"/>
          <c:h val="0.95482866459127502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64BCD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32CF-7548-9936-6542FD841A1C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32CF-7548-9936-6542FD841A1C}"/>
              </c:ext>
            </c:extLst>
          </c:dPt>
          <c:val>
            <c:numRef>
              <c:f>data!$C$50:$D$50</c:f>
              <c:numCache>
                <c:formatCode>_(* #,##0.0_);_(* \(#,##0.0\);_(* "-"??_);_(@_)</c:formatCode>
                <c:ptCount val="2"/>
                <c:pt idx="0">
                  <c:v>55.772081797472694</c:v>
                </c:pt>
                <c:pt idx="1">
                  <c:v>44.227918202527306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32CF-7548-9936-6542FD841A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7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9419741911494287E-2"/>
          <c:y val="0.23189323673300208"/>
          <c:w val="0.89659632042709858"/>
          <c:h val="0.66629520450756718"/>
        </c:manualLayout>
      </c:layout>
      <c:doughnutChart>
        <c:varyColors val="1"/>
        <c:ser>
          <c:idx val="0"/>
          <c:order val="0"/>
          <c:spPr>
            <a:solidFill>
              <a:srgbClr val="B12533"/>
            </a:solidFill>
            <a:ln w="19050">
              <a:solidFill>
                <a:schemeClr val="lt1"/>
              </a:solidFill>
            </a:ln>
          </c:spPr>
          <c:dPt>
            <c:idx val="1"/>
            <c:bubble3D val="0"/>
            <c:spPr>
              <a:solidFill>
                <a:schemeClr val="bg1"/>
              </a:solidFill>
              <a:ln w="19050">
                <a:solidFill>
                  <a:schemeClr val="lt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0-5281-4AB3-977B-703357F29CE6}"/>
              </c:ext>
            </c:extLst>
          </c:dPt>
          <c:val>
            <c:numRef>
              <c:f>data!$C$60:$D$60</c:f>
              <c:numCache>
                <c:formatCode>_(* #,##0.0_);_(* \(#,##0.0\);_(* "-"??_);_(@_)</c:formatCode>
                <c:ptCount val="2"/>
                <c:pt idx="0">
                  <c:v>22.536652560019498</c:v>
                </c:pt>
                <c:pt idx="1">
                  <c:v>77.46334743998051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84C-4A93-AB9E-7435C88803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7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9419741911494287E-2"/>
          <c:y val="0.23189323673300208"/>
          <c:w val="0.89659632042709858"/>
          <c:h val="0.66629520450756718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B12533"/>
              </a:solidFill>
              <a:ln w="19050">
                <a:solidFill>
                  <a:schemeClr val="lt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0-6130-4F12-8F07-4DD5BA3B1594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19050">
                <a:solidFill>
                  <a:schemeClr val="lt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6130-4F12-8F07-4DD5BA3B1594}"/>
              </c:ext>
            </c:extLst>
          </c:dPt>
          <c:val>
            <c:numRef>
              <c:f>data!$C$58:$D$58</c:f>
              <c:numCache>
                <c:formatCode>_(* #,##0.0_);_(* \(#,##0.0\);_(* "-"??_);_(@_)</c:formatCode>
                <c:ptCount val="2"/>
                <c:pt idx="0">
                  <c:v>65.418662289396906</c:v>
                </c:pt>
                <c:pt idx="1">
                  <c:v>34.581337710603094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84C-4A93-AB9E-7435C88803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7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683282627575736E-2"/>
          <c:y val="0.17499990813653116"/>
          <c:w val="0.84465224117025617"/>
          <c:h val="0.69666682589667928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rgbClr val="B12533"/>
            </a:solidFill>
            <a:ln>
              <a:noFill/>
            </a:ln>
            <a:effectLst/>
          </c:spPr>
          <c:invertIfNegative val="0"/>
          <c:val>
            <c:numRef>
              <c:f>data!$C$59</c:f>
              <c:numCache>
                <c:formatCode>_(* #,##0.0_);_(* \(#,##0.0\);_(* "-"??_);_(@_)</c:formatCode>
                <c:ptCount val="1"/>
                <c:pt idx="0">
                  <c:v>27.152906497961798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5F3-4E4C-A050-21475682D9C4}"/>
            </c:ext>
          </c:extLst>
        </c:ser>
        <c:ser>
          <c:idx val="1"/>
          <c:order val="1"/>
          <c:spPr>
            <a:solidFill>
              <a:schemeClr val="bg1"/>
            </a:solidFill>
            <a:ln>
              <a:noFill/>
            </a:ln>
            <a:effectLst/>
          </c:spPr>
          <c:invertIfNegative val="0"/>
          <c:val>
            <c:numRef>
              <c:f>data!$D$59</c:f>
              <c:numCache>
                <c:formatCode>_(* #,##0.0_);_(* \(#,##0.0\);_(* "-"??_);_(@_)</c:formatCode>
                <c:ptCount val="1"/>
                <c:pt idx="0">
                  <c:v>72.847093502038206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5F3-4E4C-A050-21475682D9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952308064"/>
        <c:axId val="1952311424"/>
      </c:barChart>
      <c:catAx>
        <c:axId val="1952308064"/>
        <c:scaling>
          <c:orientation val="minMax"/>
        </c:scaling>
        <c:delete val="1"/>
        <c:axPos val="l"/>
        <c:majorTickMark val="none"/>
        <c:minorTickMark val="none"/>
        <c:tickLblPos val="nextTo"/>
        <c:crossAx val="1952311424"/>
        <c:crosses val="autoZero"/>
        <c:auto val="1"/>
        <c:lblAlgn val="ctr"/>
        <c:lblOffset val="100"/>
        <c:noMultiLvlLbl val="0"/>
      </c:catAx>
      <c:valAx>
        <c:axId val="1952311424"/>
        <c:scaling>
          <c:orientation val="minMax"/>
          <c:max val="100"/>
          <c:min val="0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.0_);_(* \(#,##0.0\);_(* &quot;-&quot;??_);_(@_)" sourceLinked="1"/>
        <c:majorTickMark val="out"/>
        <c:minorTickMark val="none"/>
        <c:tickLblPos val="nextTo"/>
        <c:crossAx val="1952308064"/>
        <c:crosses val="autoZero"/>
        <c:crossBetween val="between"/>
        <c:minorUnit val="10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683282627575736E-2"/>
          <c:y val="0.17499990813653116"/>
          <c:w val="0.84465224117025617"/>
          <c:h val="0.69666682589667928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rgbClr val="B12533"/>
            </a:solidFill>
            <a:ln>
              <a:noFill/>
            </a:ln>
            <a:effectLst>
              <a:outerShdw blurRad="50800" dist="50800" dir="5400000" algn="ctr" rotWithShape="0">
                <a:schemeClr val="accent5"/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B12533"/>
              </a:solidFill>
              <a:ln>
                <a:noFill/>
              </a:ln>
              <a:effectLst>
                <a:outerShdw blurRad="50800" dist="50800" dir="5400000" algn="ctr" rotWithShape="0">
                  <a:srgbClr val="B12533"/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19BF-426C-AAC8-35D222571B61}"/>
              </c:ext>
            </c:extLst>
          </c:dPt>
          <c:val>
            <c:numRef>
              <c:f>data!$C$56</c:f>
              <c:numCache>
                <c:formatCode>_(* #,##0.0_);_(* \(#,##0.0\);_(* "-"??_);_(@_)</c:formatCode>
                <c:ptCount val="1"/>
                <c:pt idx="0">
                  <c:v>62.877735216816802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31F-F94C-B2D1-6AE42F77D8A4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731F-F94C-B2D1-6AE42F77D8A4}"/>
              </c:ext>
            </c:extLst>
          </c:dPt>
          <c:val>
            <c:numRef>
              <c:f>data!$D$56</c:f>
              <c:numCache>
                <c:formatCode>_(* #,##0.0_);_(* \(#,##0.0\);_(* "-"??_);_(@_)</c:formatCode>
                <c:ptCount val="1"/>
                <c:pt idx="0">
                  <c:v>37.122264783183198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31F-F94C-B2D1-6AE42F77D8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952308064"/>
        <c:axId val="1952311424"/>
      </c:barChart>
      <c:catAx>
        <c:axId val="1952308064"/>
        <c:scaling>
          <c:orientation val="minMax"/>
        </c:scaling>
        <c:delete val="1"/>
        <c:axPos val="l"/>
        <c:majorTickMark val="none"/>
        <c:minorTickMark val="none"/>
        <c:tickLblPos val="nextTo"/>
        <c:crossAx val="1952311424"/>
        <c:crosses val="autoZero"/>
        <c:auto val="1"/>
        <c:lblAlgn val="ctr"/>
        <c:lblOffset val="100"/>
        <c:noMultiLvlLbl val="0"/>
      </c:catAx>
      <c:valAx>
        <c:axId val="1952311424"/>
        <c:scaling>
          <c:orientation val="minMax"/>
          <c:max val="100"/>
          <c:min val="0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.0_);_(* \(#,##0.0\);_(* &quot;-&quot;??_);_(@_)" sourceLinked="1"/>
        <c:majorTickMark val="out"/>
        <c:minorTickMark val="none"/>
        <c:tickLblPos val="nextTo"/>
        <c:crossAx val="1952308064"/>
        <c:crosses val="autoZero"/>
        <c:crossBetween val="between"/>
        <c:minorUnit val="10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9419741911494287E-2"/>
          <c:y val="0.23189323673300208"/>
          <c:w val="0.89659632042709858"/>
          <c:h val="0.66629520450756718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B12533"/>
              </a:solidFill>
              <a:ln w="19050">
                <a:solidFill>
                  <a:schemeClr val="lt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884C-4A93-AB9E-7435C8880386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19050">
                <a:solidFill>
                  <a:schemeClr val="lt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884C-4A93-AB9E-7435C8880386}"/>
              </c:ext>
            </c:extLst>
          </c:dPt>
          <c:val>
            <c:numRef>
              <c:f>data!$C$57:$D$57</c:f>
              <c:numCache>
                <c:formatCode>_(* #,##0.0_);_(* \(#,##0.0\);_(* "-"??_);_(@_)</c:formatCode>
                <c:ptCount val="2"/>
                <c:pt idx="0">
                  <c:v>61.557366434485402</c:v>
                </c:pt>
                <c:pt idx="1">
                  <c:v>38.442633565514598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84C-4A93-AB9E-7435C88803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7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9419741911494287E-2"/>
          <c:y val="0.23189323673300208"/>
          <c:w val="0.89659632042709858"/>
          <c:h val="0.66629520450756718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B12533"/>
              </a:solidFill>
              <a:ln w="19050">
                <a:solidFill>
                  <a:schemeClr val="lt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0-FF15-4777-8D0D-2BDEBE8FD8EF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19050">
                <a:solidFill>
                  <a:schemeClr val="lt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FF15-4777-8D0D-2BDEBE8FD8EF}"/>
              </c:ext>
            </c:extLst>
          </c:dPt>
          <c:val>
            <c:numRef>
              <c:f>data!$C$61:$D$61</c:f>
              <c:numCache>
                <c:formatCode>_(* #,##0.0_);_(* \(#,##0.0\);_(* "-"??_);_(@_)</c:formatCode>
                <c:ptCount val="2"/>
                <c:pt idx="0">
                  <c:v>36.0364585473353</c:v>
                </c:pt>
                <c:pt idx="1">
                  <c:v>63.9635414526647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84C-4A93-AB9E-7435C88803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7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683282627575736E-2"/>
          <c:y val="0.17499990813653116"/>
          <c:w val="0.84465224117025617"/>
          <c:h val="0.69666682589667928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chemeClr val="tx2">
                <a:lumMod val="25000"/>
                <a:lumOff val="7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C263-AA4A-89ED-60441E4FF6D2}"/>
              </c:ext>
            </c:extLst>
          </c:dPt>
          <c:val>
            <c:numRef>
              <c:f>data!$C$66</c:f>
              <c:numCache>
                <c:formatCode>_(* #,##0.0_);_(* \(#,##0.0\);_(* "-"??_);_(@_)</c:formatCode>
                <c:ptCount val="1"/>
                <c:pt idx="0">
                  <c:v>27.681126607406998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263-AA4A-89ED-60441E4FF6D2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C263-AA4A-89ED-60441E4FF6D2}"/>
              </c:ext>
            </c:extLst>
          </c:dPt>
          <c:val>
            <c:numRef>
              <c:f>data!$D$66</c:f>
              <c:numCache>
                <c:formatCode>_(* #,##0.0_);_(* \(#,##0.0\);_(* "-"??_);_(@_)</c:formatCode>
                <c:ptCount val="1"/>
                <c:pt idx="0">
                  <c:v>72.318873392593005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263-AA4A-89ED-60441E4FF6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952308064"/>
        <c:axId val="1952311424"/>
      </c:barChart>
      <c:catAx>
        <c:axId val="1952308064"/>
        <c:scaling>
          <c:orientation val="minMax"/>
        </c:scaling>
        <c:delete val="1"/>
        <c:axPos val="l"/>
        <c:majorTickMark val="none"/>
        <c:minorTickMark val="none"/>
        <c:tickLblPos val="nextTo"/>
        <c:crossAx val="1952311424"/>
        <c:crosses val="autoZero"/>
        <c:auto val="1"/>
        <c:lblAlgn val="ctr"/>
        <c:lblOffset val="100"/>
        <c:noMultiLvlLbl val="0"/>
      </c:catAx>
      <c:valAx>
        <c:axId val="1952311424"/>
        <c:scaling>
          <c:orientation val="minMax"/>
          <c:max val="100"/>
          <c:min val="0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.0_);_(* \(#,##0.0\);_(* &quot;-&quot;??_);_(@_)" sourceLinked="1"/>
        <c:majorTickMark val="out"/>
        <c:minorTickMark val="none"/>
        <c:tickLblPos val="nextTo"/>
        <c:crossAx val="1952308064"/>
        <c:crosses val="autoZero"/>
        <c:crossBetween val="between"/>
        <c:minorUnit val="10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077225334312829E-2"/>
          <c:y val="4.5171335408725005E-2"/>
          <c:w val="0.82370480550760439"/>
          <c:h val="0.95482866459127502"/>
        </c:manualLayout>
      </c:layout>
      <c:doughnut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7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9419741911494287E-2"/>
          <c:y val="0.23189323673300208"/>
          <c:w val="0.89659632042709858"/>
          <c:h val="0.66629520450756718"/>
        </c:manualLayout>
      </c:layout>
      <c:doughnutChart>
        <c:varyColors val="1"/>
        <c:ser>
          <c:idx val="0"/>
          <c:order val="0"/>
          <c:spPr>
            <a:solidFill>
              <a:schemeClr val="tx2">
                <a:lumMod val="25000"/>
                <a:lumOff val="75000"/>
              </a:schemeClr>
            </a:solidFill>
            <a:ln w="19050">
              <a:solidFill>
                <a:schemeClr val="bg1">
                  <a:lumMod val="95000"/>
                </a:schemeClr>
              </a:solidFill>
            </a:ln>
          </c:spPr>
          <c:dPt>
            <c:idx val="1"/>
            <c:bubble3D val="0"/>
            <c:spPr>
              <a:solidFill>
                <a:schemeClr val="bg1"/>
              </a:solidFill>
              <a:ln w="19050">
                <a:solidFill>
                  <a:schemeClr val="bg1">
                    <a:lumMod val="9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3-633B-466B-8B9F-CFE58D929FBF}"/>
              </c:ext>
            </c:extLst>
          </c:dPt>
          <c:val>
            <c:numRef>
              <c:f>data!$C$68:$D$68</c:f>
              <c:numCache>
                <c:formatCode>_(* #,##0.0_);_(* \(#,##0.0\);_(* "-"??_);_(@_)</c:formatCode>
                <c:ptCount val="2"/>
                <c:pt idx="0">
                  <c:v>32.287479385264604</c:v>
                </c:pt>
                <c:pt idx="1">
                  <c:v>67.712520614735396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33B-466B-8B9F-CFE58D929F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7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9419741911494287E-2"/>
          <c:y val="0.23189323673300208"/>
          <c:w val="0.89659632042709858"/>
          <c:h val="0.66629520450756718"/>
        </c:manualLayout>
      </c:layout>
      <c:doughnutChart>
        <c:varyColors val="1"/>
        <c:ser>
          <c:idx val="0"/>
          <c:order val="0"/>
          <c:spPr>
            <a:solidFill>
              <a:schemeClr val="tx2">
                <a:lumMod val="25000"/>
                <a:lumOff val="75000"/>
              </a:schemeClr>
            </a:solidFill>
            <a:ln w="19050">
              <a:solidFill>
                <a:schemeClr val="bg1">
                  <a:lumMod val="95000"/>
                </a:schemeClr>
              </a:solidFill>
            </a:ln>
          </c:spPr>
          <c:dPt>
            <c:idx val="1"/>
            <c:bubble3D val="0"/>
            <c:spPr>
              <a:solidFill>
                <a:schemeClr val="bg1"/>
              </a:solidFill>
              <a:ln w="19050">
                <a:solidFill>
                  <a:schemeClr val="bg1">
                    <a:lumMod val="9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1-494B-415E-AE36-D2B877B2CF99}"/>
              </c:ext>
            </c:extLst>
          </c:dPt>
          <c:val>
            <c:numRef>
              <c:f>data!$C$69:$D$69</c:f>
              <c:numCache>
                <c:formatCode>_(* #,##0.0_);_(* \(#,##0.0\);_(* "-"??_);_(@_)</c:formatCode>
                <c:ptCount val="2"/>
                <c:pt idx="0">
                  <c:v>26.436590212753302</c:v>
                </c:pt>
                <c:pt idx="1">
                  <c:v>73.563409787246698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4B-415E-AE36-D2B877B2CF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7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9419741911494287E-2"/>
          <c:y val="0.23189323673300208"/>
          <c:w val="0.89659632042709858"/>
          <c:h val="0.66629520450756718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 w="19050">
                <a:solidFill>
                  <a:schemeClr val="bg1">
                    <a:lumMod val="9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1-2EF3-47D4-A2A9-899C5DD9FE96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19050">
                <a:solidFill>
                  <a:schemeClr val="bg1">
                    <a:lumMod val="9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2-2EF3-47D4-A2A9-899C5DD9FE96}"/>
              </c:ext>
            </c:extLst>
          </c:dPt>
          <c:val>
            <c:numRef>
              <c:f>data!$C$70:$D$70</c:f>
              <c:numCache>
                <c:formatCode>_(* #,##0.0_);_(* \(#,##0.0\);_(* "-"??_);_(@_)</c:formatCode>
                <c:ptCount val="2"/>
                <c:pt idx="0">
                  <c:v>10.6390625259793</c:v>
                </c:pt>
                <c:pt idx="1">
                  <c:v>89.360937474020702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F3-47D4-A2A9-899C5DD9FE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7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683282627575736E-2"/>
          <c:y val="0.17499990813653116"/>
          <c:w val="0.84465224117025617"/>
          <c:h val="0.69666682589667928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data!$C$74</c:f>
              <c:numCache>
                <c:formatCode>_(* #,##0.0_);_(* \(#,##0.0\);_(* "-"??_);_(@_)</c:formatCode>
                <c:ptCount val="1"/>
                <c:pt idx="0">
                  <c:v>12.81915802228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A4-DC44-840B-ED04A96B3644}"/>
            </c:ext>
          </c:extLst>
        </c:ser>
        <c:ser>
          <c:idx val="1"/>
          <c:order val="1"/>
          <c:spPr>
            <a:solidFill>
              <a:schemeClr val="bg1"/>
            </a:solidFill>
            <a:ln>
              <a:noFill/>
            </a:ln>
            <a:effectLst/>
          </c:spPr>
          <c:invertIfNegative val="0"/>
          <c:val>
            <c:numRef>
              <c:f>data!$D$74</c:f>
              <c:numCache>
                <c:formatCode>_(* #,##0.0_);_(* \(#,##0.0\);_(* "-"??_);_(@_)</c:formatCode>
                <c:ptCount val="1"/>
                <c:pt idx="0">
                  <c:v>87.180841977720007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4A4-DC44-840B-ED04A96B36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952308064"/>
        <c:axId val="1952311424"/>
      </c:barChart>
      <c:catAx>
        <c:axId val="1952308064"/>
        <c:scaling>
          <c:orientation val="minMax"/>
        </c:scaling>
        <c:delete val="1"/>
        <c:axPos val="l"/>
        <c:majorTickMark val="none"/>
        <c:minorTickMark val="none"/>
        <c:tickLblPos val="nextTo"/>
        <c:crossAx val="1952311424"/>
        <c:crosses val="autoZero"/>
        <c:auto val="1"/>
        <c:lblAlgn val="ctr"/>
        <c:lblOffset val="100"/>
        <c:noMultiLvlLbl val="0"/>
      </c:catAx>
      <c:valAx>
        <c:axId val="1952311424"/>
        <c:scaling>
          <c:orientation val="minMax"/>
          <c:max val="100"/>
          <c:min val="0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.0_);_(* \(#,##0.0\);_(* &quot;-&quot;??_);_(@_)" sourceLinked="1"/>
        <c:majorTickMark val="out"/>
        <c:minorTickMark val="none"/>
        <c:tickLblPos val="nextTo"/>
        <c:crossAx val="1952308064"/>
        <c:crosses val="autoZero"/>
        <c:crossBetween val="between"/>
        <c:minorUnit val="10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9419741911494287E-2"/>
          <c:y val="0.23189323673300208"/>
          <c:w val="0.89659632042709858"/>
          <c:h val="0.66629520450756718"/>
        </c:manualLayout>
      </c:layout>
      <c:doughnutChart>
        <c:varyColors val="1"/>
        <c:ser>
          <c:idx val="0"/>
          <c:order val="0"/>
          <c:spPr>
            <a:solidFill>
              <a:schemeClr val="accent4">
                <a:lumMod val="60000"/>
                <a:lumOff val="40000"/>
              </a:schemeClr>
            </a:solidFill>
            <a:ln w="19050">
              <a:solidFill>
                <a:schemeClr val="bg1"/>
              </a:solidFill>
            </a:ln>
          </c:spPr>
          <c:dPt>
            <c:idx val="1"/>
            <c:bubble3D val="0"/>
            <c:spPr>
              <a:solidFill>
                <a:schemeClr val="bg1"/>
              </a:solidFill>
              <a:ln w="19050"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D9C7-4712-B3A7-2EE78A98D0D8}"/>
              </c:ext>
            </c:extLst>
          </c:dPt>
          <c:val>
            <c:numRef>
              <c:f>data!$C$75:$D$75</c:f>
              <c:numCache>
                <c:formatCode>_(* #,##0.0_);_(* \(#,##0.0\);_(* "-"??_);_(@_)</c:formatCode>
                <c:ptCount val="2"/>
                <c:pt idx="0">
                  <c:v>52.937855991958905</c:v>
                </c:pt>
                <c:pt idx="1">
                  <c:v>47.062144008041095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9C7-4712-B3A7-2EE78A98D0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7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9419741911494287E-2"/>
          <c:y val="0.23189323673300208"/>
          <c:w val="0.89659632042709858"/>
          <c:h val="0.66629520450756718"/>
        </c:manualLayout>
      </c:layout>
      <c:doughnutChart>
        <c:varyColors val="1"/>
        <c:ser>
          <c:idx val="0"/>
          <c:order val="0"/>
          <c:spPr>
            <a:solidFill>
              <a:srgbClr val="6C4F25"/>
            </a:solidFill>
            <a:ln w="19050">
              <a:solidFill>
                <a:schemeClr val="bg1"/>
              </a:solidFill>
            </a:ln>
          </c:spPr>
          <c:dPt>
            <c:idx val="1"/>
            <c:bubble3D val="0"/>
            <c:spPr>
              <a:solidFill>
                <a:schemeClr val="bg1"/>
              </a:solidFill>
              <a:ln w="19050"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0-ABBE-4BF5-B6AE-811C16E32FDF}"/>
              </c:ext>
            </c:extLst>
          </c:dPt>
          <c:val>
            <c:numRef>
              <c:f>data!$C$81:$D$81</c:f>
              <c:numCache>
                <c:formatCode>_(* #,##0.0_);_(* \(#,##0.0\);_(* "-"??_);_(@_)</c:formatCode>
                <c:ptCount val="2"/>
                <c:pt idx="0">
                  <c:v>68.434528118692398</c:v>
                </c:pt>
                <c:pt idx="1">
                  <c:v>31.565471881307602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0A5-4622-9B95-D98B75FBA6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7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683282627575736E-2"/>
          <c:y val="0.17499990813653116"/>
          <c:w val="0.84465224117025617"/>
          <c:h val="0.69666682589667928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rgbClr val="6C4F25"/>
            </a:solidFill>
            <a:ln>
              <a:noFill/>
            </a:ln>
            <a:effectLst/>
          </c:spPr>
          <c:invertIfNegative val="0"/>
          <c:val>
            <c:numRef>
              <c:f>data!$C$80</c:f>
              <c:numCache>
                <c:formatCode>_(* #,##0.0_);_(* \(#,##0.0\);_(* "-"??_);_(@_)</c:formatCode>
                <c:ptCount val="1"/>
                <c:pt idx="0">
                  <c:v>29.079494611724698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B85-0B4F-A2BE-FBC57F4173D5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CB85-0B4F-A2BE-FBC57F4173D5}"/>
              </c:ext>
            </c:extLst>
          </c:dPt>
          <c:val>
            <c:numRef>
              <c:f>data!$D$80</c:f>
              <c:numCache>
                <c:formatCode>_(* #,##0.0_);_(* \(#,##0.0\);_(* "-"??_);_(@_)</c:formatCode>
                <c:ptCount val="1"/>
                <c:pt idx="0">
                  <c:v>70.920505388275302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B85-0B4F-A2BE-FBC57F4173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952308064"/>
        <c:axId val="1952311424"/>
      </c:barChart>
      <c:catAx>
        <c:axId val="1952308064"/>
        <c:scaling>
          <c:orientation val="minMax"/>
        </c:scaling>
        <c:delete val="1"/>
        <c:axPos val="l"/>
        <c:majorTickMark val="none"/>
        <c:minorTickMark val="none"/>
        <c:tickLblPos val="nextTo"/>
        <c:crossAx val="1952311424"/>
        <c:crosses val="autoZero"/>
        <c:auto val="1"/>
        <c:lblAlgn val="ctr"/>
        <c:lblOffset val="100"/>
        <c:noMultiLvlLbl val="0"/>
      </c:catAx>
      <c:valAx>
        <c:axId val="1952311424"/>
        <c:scaling>
          <c:orientation val="minMax"/>
          <c:max val="100"/>
          <c:min val="0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.0_);_(* \(#,##0.0\);_(* &quot;-&quot;??_);_(@_)" sourceLinked="1"/>
        <c:majorTickMark val="out"/>
        <c:minorTickMark val="none"/>
        <c:tickLblPos val="nextTo"/>
        <c:crossAx val="1952308064"/>
        <c:crosses val="autoZero"/>
        <c:crossBetween val="between"/>
        <c:minorUnit val="10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9419741911494287E-2"/>
          <c:y val="0.23189323673300208"/>
          <c:w val="0.89659632042709858"/>
          <c:h val="0.66629520450756718"/>
        </c:manualLayout>
      </c:layout>
      <c:doughnutChart>
        <c:varyColors val="1"/>
        <c:ser>
          <c:idx val="0"/>
          <c:order val="0"/>
          <c:spPr>
            <a:solidFill>
              <a:srgbClr val="6C4F25"/>
            </a:solidFill>
            <a:ln w="19050">
              <a:solidFill>
                <a:schemeClr val="bg1"/>
              </a:solidFill>
            </a:ln>
          </c:spPr>
          <c:dPt>
            <c:idx val="1"/>
            <c:bubble3D val="0"/>
            <c:spPr>
              <a:solidFill>
                <a:schemeClr val="bg1"/>
              </a:solidFill>
              <a:ln w="19050">
                <a:solidFill>
                  <a:schemeClr val="bg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0-0B26-4C5C-AEA7-E7CE6F356E85}"/>
              </c:ext>
            </c:extLst>
          </c:dPt>
          <c:val>
            <c:numRef>
              <c:f>data!$C$82:$D$82</c:f>
              <c:numCache>
                <c:formatCode>_(* #,##0.0_);_(* \(#,##0.0\);_(* "-"??_);_(@_)</c:formatCode>
                <c:ptCount val="2"/>
                <c:pt idx="0">
                  <c:v>68.081723970028094</c:v>
                </c:pt>
                <c:pt idx="1">
                  <c:v>31.918276029971906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0A5-4622-9B95-D98B75FBA6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7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683282627575736E-2"/>
          <c:y val="0.17499990813653116"/>
          <c:w val="0.84465224117025617"/>
          <c:h val="0.69666682589667928"/>
        </c:manualLayout>
      </c:layout>
      <c:doughnutChart>
        <c:varyColors val="1"/>
        <c:ser>
          <c:idx val="1"/>
          <c:order val="0"/>
          <c:dPt>
            <c:idx val="0"/>
            <c:bubble3D val="0"/>
            <c:spPr>
              <a:solidFill>
                <a:srgbClr val="4DA2A2"/>
              </a:solidFill>
              <a:ln w="34925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9F7-4D20-9B63-D6891845F02A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34925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9F7-4D20-9B63-D6891845F02A}"/>
              </c:ext>
            </c:extLst>
          </c:dPt>
          <c:val>
            <c:numRef>
              <c:f>data!$C$105:$D$105</c:f>
              <c:numCache>
                <c:formatCode>_(* #,##0.0_);_(* \(#,##0.0\);_(* "-"??_);_(@_)</c:formatCode>
                <c:ptCount val="2"/>
                <c:pt idx="0">
                  <c:v>6.9468051844947007</c:v>
                </c:pt>
                <c:pt idx="1">
                  <c:v>93.053194815505293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9F7-4D20-9B63-D6891845F0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6"/>
      </c:doughnutChart>
      <c:spPr>
        <a:noFill/>
        <a:ln w="25400"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683282627575736E-2"/>
          <c:y val="0.17499990813653116"/>
          <c:w val="0.84465224117025617"/>
          <c:h val="0.69666682589667928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rgbClr val="4DA2A2"/>
            </a:solidFill>
            <a:ln>
              <a:noFill/>
            </a:ln>
            <a:effectLst/>
          </c:spPr>
          <c:invertIfNegative val="0"/>
          <c:val>
            <c:numRef>
              <c:f>data!$C$103</c:f>
              <c:numCache>
                <c:formatCode>_(* #,##0.0_);_(* \(#,##0.0\);_(* "-"??_);_(@_)</c:formatCode>
                <c:ptCount val="1"/>
                <c:pt idx="0">
                  <c:v>28.7422937594622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37-B041-A1E8-37AE2508E33C}"/>
            </c:ext>
          </c:extLst>
        </c:ser>
        <c:ser>
          <c:idx val="1"/>
          <c:order val="1"/>
          <c:spPr>
            <a:solidFill>
              <a:schemeClr val="bg1"/>
            </a:solidFill>
            <a:ln>
              <a:noFill/>
            </a:ln>
            <a:effectLst/>
          </c:spPr>
          <c:invertIfNegative val="0"/>
          <c:val>
            <c:numRef>
              <c:f>data!$D$103</c:f>
              <c:numCache>
                <c:formatCode>_(* #,##0.0_);_(* \(#,##0.0\);_(* "-"??_);_(@_)</c:formatCode>
                <c:ptCount val="1"/>
                <c:pt idx="0">
                  <c:v>71.2577062405378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637-B041-A1E8-37AE2508E3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952308064"/>
        <c:axId val="1952311424"/>
      </c:barChart>
      <c:catAx>
        <c:axId val="1952308064"/>
        <c:scaling>
          <c:orientation val="minMax"/>
        </c:scaling>
        <c:delete val="1"/>
        <c:axPos val="l"/>
        <c:majorTickMark val="none"/>
        <c:minorTickMark val="none"/>
        <c:tickLblPos val="nextTo"/>
        <c:crossAx val="1952311424"/>
        <c:crosses val="autoZero"/>
        <c:auto val="1"/>
        <c:lblAlgn val="ctr"/>
        <c:lblOffset val="100"/>
        <c:noMultiLvlLbl val="0"/>
      </c:catAx>
      <c:valAx>
        <c:axId val="1952311424"/>
        <c:scaling>
          <c:orientation val="minMax"/>
          <c:max val="100"/>
          <c:min val="0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.0_);_(* \(#,##0.0\);_(* &quot;-&quot;??_);_(@_)" sourceLinked="1"/>
        <c:majorTickMark val="out"/>
        <c:minorTickMark val="none"/>
        <c:tickLblPos val="nextTo"/>
        <c:crossAx val="1952308064"/>
        <c:crosses val="autoZero"/>
        <c:crossBetween val="between"/>
        <c:minorUnit val="10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683282627575736E-2"/>
          <c:y val="0.17499990813653116"/>
          <c:w val="0.84465224117025617"/>
          <c:h val="0.69666682589667928"/>
        </c:manualLayout>
      </c:layout>
      <c:doughnutChart>
        <c:varyColors val="1"/>
        <c:ser>
          <c:idx val="1"/>
          <c:order val="0"/>
          <c:spPr>
            <a:ln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rgbClr val="4DA2A2"/>
              </a:solidFill>
              <a:ln w="34925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566-48DA-862A-B1E8DE09C492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28575">
                <a:solidFill>
                  <a:schemeClr val="bg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0-F566-48DA-862A-B1E8DE09C492}"/>
              </c:ext>
            </c:extLst>
          </c:dPt>
          <c:val>
            <c:numRef>
              <c:f>data!$C$104:$D$104</c:f>
              <c:numCache>
                <c:formatCode>_(* #,##0.0_);_(* \(#,##0.0\);_(* "-"??_);_(@_)</c:formatCode>
                <c:ptCount val="2"/>
                <c:pt idx="0">
                  <c:v>64.310901058187994</c:v>
                </c:pt>
                <c:pt idx="1">
                  <c:v>35.689098941812006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807-6E47-94DC-62B9030512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6"/>
      </c:doughnutChart>
      <c:spPr>
        <a:noFill/>
        <a:ln w="25400"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image" Target="../media/image3.png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image" Target="../media/image2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0.xml"/><Relationship Id="rId5" Type="http://schemas.openxmlformats.org/officeDocument/2006/relationships/chart" Target="../charts/chart5.xml"/><Relationship Id="rId15" Type="http://schemas.openxmlformats.org/officeDocument/2006/relationships/image" Target="../media/image5.emf"/><Relationship Id="rId10" Type="http://schemas.openxmlformats.org/officeDocument/2006/relationships/image" Target="../media/image1.png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chart" Target="../charts/chart13.xml"/><Relationship Id="rId7" Type="http://schemas.openxmlformats.org/officeDocument/2006/relationships/image" Target="../media/image6.png"/><Relationship Id="rId12" Type="http://schemas.openxmlformats.org/officeDocument/2006/relationships/image" Target="../media/image10.png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image" Target="../media/image9.png"/><Relationship Id="rId5" Type="http://schemas.openxmlformats.org/officeDocument/2006/relationships/chart" Target="../charts/chart15.xml"/><Relationship Id="rId10" Type="http://schemas.openxmlformats.org/officeDocument/2006/relationships/image" Target="../media/image8.png"/><Relationship Id="rId4" Type="http://schemas.openxmlformats.org/officeDocument/2006/relationships/chart" Target="../charts/chart14.xml"/><Relationship Id="rId9" Type="http://schemas.openxmlformats.org/officeDocument/2006/relationships/chart" Target="../charts/chart17.xml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.png"/><Relationship Id="rId3" Type="http://schemas.openxmlformats.org/officeDocument/2006/relationships/image" Target="../media/image11.png"/><Relationship Id="rId7" Type="http://schemas.openxmlformats.org/officeDocument/2006/relationships/chart" Target="../charts/chart22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Relationship Id="rId6" Type="http://schemas.openxmlformats.org/officeDocument/2006/relationships/chart" Target="../charts/chart21.xml"/><Relationship Id="rId5" Type="http://schemas.openxmlformats.org/officeDocument/2006/relationships/image" Target="../media/image12.png"/><Relationship Id="rId4" Type="http://schemas.openxmlformats.org/officeDocument/2006/relationships/chart" Target="../charts/chart20.xml"/><Relationship Id="rId9" Type="http://schemas.openxmlformats.org/officeDocument/2006/relationships/image" Target="../media/image14.png"/></Relationships>
</file>

<file path=xl/drawings/_rels/drawing19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0.xml"/><Relationship Id="rId13" Type="http://schemas.openxmlformats.org/officeDocument/2006/relationships/image" Target="../media/image19.png"/><Relationship Id="rId3" Type="http://schemas.openxmlformats.org/officeDocument/2006/relationships/chart" Target="../charts/chart25.xml"/><Relationship Id="rId7" Type="http://schemas.openxmlformats.org/officeDocument/2006/relationships/chart" Target="../charts/chart29.xml"/><Relationship Id="rId12" Type="http://schemas.openxmlformats.org/officeDocument/2006/relationships/image" Target="../media/image18.png"/><Relationship Id="rId2" Type="http://schemas.openxmlformats.org/officeDocument/2006/relationships/chart" Target="../charts/chart24.xml"/><Relationship Id="rId16" Type="http://schemas.openxmlformats.org/officeDocument/2006/relationships/image" Target="../media/image22.png"/><Relationship Id="rId1" Type="http://schemas.openxmlformats.org/officeDocument/2006/relationships/chart" Target="../charts/chart23.xml"/><Relationship Id="rId6" Type="http://schemas.openxmlformats.org/officeDocument/2006/relationships/chart" Target="../charts/chart28.xml"/><Relationship Id="rId11" Type="http://schemas.openxmlformats.org/officeDocument/2006/relationships/image" Target="../media/image17.png"/><Relationship Id="rId5" Type="http://schemas.openxmlformats.org/officeDocument/2006/relationships/chart" Target="../charts/chart27.xml"/><Relationship Id="rId15" Type="http://schemas.openxmlformats.org/officeDocument/2006/relationships/image" Target="../media/image21.png"/><Relationship Id="rId10" Type="http://schemas.openxmlformats.org/officeDocument/2006/relationships/image" Target="../media/image16.png"/><Relationship Id="rId4" Type="http://schemas.openxmlformats.org/officeDocument/2006/relationships/chart" Target="../charts/chart26.xml"/><Relationship Id="rId9" Type="http://schemas.openxmlformats.org/officeDocument/2006/relationships/image" Target="../media/image15.png"/><Relationship Id="rId14" Type="http://schemas.openxmlformats.org/officeDocument/2006/relationships/image" Target="../media/image20.png"/></Relationships>
</file>

<file path=xl/drawings/_rels/drawing2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6.xml"/><Relationship Id="rId3" Type="http://schemas.openxmlformats.org/officeDocument/2006/relationships/chart" Target="../charts/chart33.xml"/><Relationship Id="rId7" Type="http://schemas.openxmlformats.org/officeDocument/2006/relationships/chart" Target="../charts/chart35.xml"/><Relationship Id="rId2" Type="http://schemas.openxmlformats.org/officeDocument/2006/relationships/chart" Target="../charts/chart32.xml"/><Relationship Id="rId1" Type="http://schemas.openxmlformats.org/officeDocument/2006/relationships/chart" Target="../charts/chart31.xml"/><Relationship Id="rId6" Type="http://schemas.openxmlformats.org/officeDocument/2006/relationships/image" Target="../media/image24.png"/><Relationship Id="rId5" Type="http://schemas.openxmlformats.org/officeDocument/2006/relationships/image" Target="../media/image23.png"/><Relationship Id="rId10" Type="http://schemas.openxmlformats.org/officeDocument/2006/relationships/image" Target="../media/image21.png"/><Relationship Id="rId4" Type="http://schemas.openxmlformats.org/officeDocument/2006/relationships/chart" Target="../charts/chart34.xml"/><Relationship Id="rId9" Type="http://schemas.openxmlformats.org/officeDocument/2006/relationships/image" Target="../media/image25.png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6.png"/><Relationship Id="rId7" Type="http://schemas.openxmlformats.org/officeDocument/2006/relationships/image" Target="../media/image27.png"/><Relationship Id="rId2" Type="http://schemas.openxmlformats.org/officeDocument/2006/relationships/chart" Target="../charts/chart38.xml"/><Relationship Id="rId1" Type="http://schemas.openxmlformats.org/officeDocument/2006/relationships/chart" Target="../charts/chart37.xml"/><Relationship Id="rId6" Type="http://schemas.openxmlformats.org/officeDocument/2006/relationships/chart" Target="../charts/chart41.xml"/><Relationship Id="rId5" Type="http://schemas.openxmlformats.org/officeDocument/2006/relationships/chart" Target="../charts/chart40.xml"/><Relationship Id="rId4" Type="http://schemas.openxmlformats.org/officeDocument/2006/relationships/chart" Target="../charts/chart39.xml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9.png"/><Relationship Id="rId2" Type="http://schemas.openxmlformats.org/officeDocument/2006/relationships/chart" Target="../charts/chart42.xml"/><Relationship Id="rId1" Type="http://schemas.openxmlformats.org/officeDocument/2006/relationships/image" Target="../media/image28.png"/><Relationship Id="rId4" Type="http://schemas.openxmlformats.org/officeDocument/2006/relationships/chart" Target="../charts/chart43.xml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0.png"/><Relationship Id="rId2" Type="http://schemas.openxmlformats.org/officeDocument/2006/relationships/chart" Target="../charts/chart45.xml"/><Relationship Id="rId1" Type="http://schemas.openxmlformats.org/officeDocument/2006/relationships/chart" Target="../charts/chart44.xml"/><Relationship Id="rId6" Type="http://schemas.openxmlformats.org/officeDocument/2006/relationships/chart" Target="../charts/chart46.xml"/><Relationship Id="rId5" Type="http://schemas.openxmlformats.org/officeDocument/2006/relationships/image" Target="../media/image21.png"/><Relationship Id="rId4" Type="http://schemas.openxmlformats.org/officeDocument/2006/relationships/image" Target="../media/image25.png"/></Relationships>
</file>

<file path=xl/drawings/_rels/drawing3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2.png"/><Relationship Id="rId1" Type="http://schemas.openxmlformats.org/officeDocument/2006/relationships/image" Target="../media/image31.png"/></Relationships>
</file>

<file path=xl/drawings/_rels/drawing39.xml.rels><?xml version="1.0" encoding="UTF-8" standalone="yes"?>
<Relationships xmlns="http://schemas.openxmlformats.org/package/2006/relationships"><Relationship Id="rId8" Type="http://schemas.openxmlformats.org/officeDocument/2006/relationships/image" Target="../media/image40.png"/><Relationship Id="rId3" Type="http://schemas.openxmlformats.org/officeDocument/2006/relationships/image" Target="../media/image35.png"/><Relationship Id="rId7" Type="http://schemas.openxmlformats.org/officeDocument/2006/relationships/image" Target="../media/image39.png"/><Relationship Id="rId2" Type="http://schemas.openxmlformats.org/officeDocument/2006/relationships/image" Target="../media/image34.png"/><Relationship Id="rId1" Type="http://schemas.openxmlformats.org/officeDocument/2006/relationships/image" Target="../media/image33.png"/><Relationship Id="rId6" Type="http://schemas.openxmlformats.org/officeDocument/2006/relationships/image" Target="../media/image38.png"/><Relationship Id="rId5" Type="http://schemas.openxmlformats.org/officeDocument/2006/relationships/image" Target="../media/image37.png"/><Relationship Id="rId4" Type="http://schemas.openxmlformats.org/officeDocument/2006/relationships/image" Target="../media/image36.png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9.xml"/><Relationship Id="rId2" Type="http://schemas.openxmlformats.org/officeDocument/2006/relationships/chart" Target="../charts/chart48.xml"/><Relationship Id="rId1" Type="http://schemas.openxmlformats.org/officeDocument/2006/relationships/chart" Target="../charts/chart47.xml"/><Relationship Id="rId5" Type="http://schemas.openxmlformats.org/officeDocument/2006/relationships/image" Target="../media/image15.png"/><Relationship Id="rId4" Type="http://schemas.openxmlformats.org/officeDocument/2006/relationships/image" Target="../media/image4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154781</xdr:colOff>
      <xdr:row>33</xdr:row>
      <xdr:rowOff>5953</xdr:rowOff>
    </xdr:from>
    <xdr:to>
      <xdr:col>10</xdr:col>
      <xdr:colOff>422672</xdr:colOff>
      <xdr:row>36</xdr:row>
      <xdr:rowOff>41671</xdr:rowOff>
    </xdr:to>
    <xdr:sp macro="" textlink="">
      <xdr:nvSpPr>
        <xdr:cNvPr id="50" name="Rectangle: Rounded Corners 49">
          <a:extLst>
            <a:ext uri="{FF2B5EF4-FFF2-40B4-BE49-F238E27FC236}">
              <a16:creationId xmlns:a16="http://schemas.microsoft.com/office/drawing/2014/main" id="{26C0B869-E657-07FD-DF8A-E9D5D1DD1A0A}"/>
            </a:ext>
          </a:extLst>
        </xdr:cNvPr>
        <xdr:cNvSpPr/>
      </xdr:nvSpPr>
      <xdr:spPr>
        <a:xfrm>
          <a:off x="381000" y="7745016"/>
          <a:ext cx="5095875" cy="607218"/>
        </a:xfrm>
        <a:prstGeom prst="round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 kern="1200"/>
        </a:p>
      </xdr:txBody>
    </xdr:sp>
    <xdr:clientData/>
  </xdr:twoCellAnchor>
  <xdr:twoCellAnchor>
    <xdr:from>
      <xdr:col>1</xdr:col>
      <xdr:colOff>115607</xdr:colOff>
      <xdr:row>9</xdr:row>
      <xdr:rowOff>47291</xdr:rowOff>
    </xdr:from>
    <xdr:to>
      <xdr:col>11</xdr:col>
      <xdr:colOff>53787</xdr:colOff>
      <xdr:row>26</xdr:row>
      <xdr:rowOff>53577</xdr:rowOff>
    </xdr:to>
    <xdr:sp macro="" textlink="">
      <xdr:nvSpPr>
        <xdr:cNvPr id="42" name="Rectangle: Rounded Corners 41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SpPr/>
      </xdr:nvSpPr>
      <xdr:spPr>
        <a:xfrm flipH="1" flipV="1">
          <a:off x="341826" y="1952291"/>
          <a:ext cx="5278133" cy="3899630"/>
        </a:xfrm>
        <a:prstGeom prst="roundRect">
          <a:avLst/>
        </a:prstGeom>
        <a:solidFill>
          <a:srgbClr val="C00000"/>
        </a:solidFill>
        <a:ln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twoCellAnchor>
  <xdr:twoCellAnchor>
    <xdr:from>
      <xdr:col>4</xdr:col>
      <xdr:colOff>139423</xdr:colOff>
      <xdr:row>10</xdr:row>
      <xdr:rowOff>166687</xdr:rowOff>
    </xdr:from>
    <xdr:to>
      <xdr:col>5</xdr:col>
      <xdr:colOff>511973</xdr:colOff>
      <xdr:row>15</xdr:row>
      <xdr:rowOff>47291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45F5EE6C-D5D5-4393-AB97-44A41044CA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214370</xdr:colOff>
      <xdr:row>2</xdr:row>
      <xdr:rowOff>92704</xdr:rowOff>
    </xdr:from>
    <xdr:to>
      <xdr:col>6</xdr:col>
      <xdr:colOff>572814</xdr:colOff>
      <xdr:row>7</xdr:row>
      <xdr:rowOff>74279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357185</xdr:colOff>
      <xdr:row>1</xdr:row>
      <xdr:rowOff>369090</xdr:rowOff>
    </xdr:from>
    <xdr:to>
      <xdr:col>9</xdr:col>
      <xdr:colOff>192656</xdr:colOff>
      <xdr:row>8</xdr:row>
      <xdr:rowOff>57380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107158</xdr:colOff>
      <xdr:row>1</xdr:row>
      <xdr:rowOff>357185</xdr:rowOff>
    </xdr:from>
    <xdr:to>
      <xdr:col>11</xdr:col>
      <xdr:colOff>274386</xdr:colOff>
      <xdr:row>8</xdr:row>
      <xdr:rowOff>47573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473868</xdr:colOff>
      <xdr:row>15</xdr:row>
      <xdr:rowOff>103489</xdr:rowOff>
    </xdr:from>
    <xdr:to>
      <xdr:col>3</xdr:col>
      <xdr:colOff>571498</xdr:colOff>
      <xdr:row>19</xdr:row>
      <xdr:rowOff>43958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439885</xdr:colOff>
      <xdr:row>19</xdr:row>
      <xdr:rowOff>29763</xdr:rowOff>
    </xdr:from>
    <xdr:to>
      <xdr:col>3</xdr:col>
      <xdr:colOff>559591</xdr:colOff>
      <xdr:row>22</xdr:row>
      <xdr:rowOff>164951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282604</xdr:colOff>
      <xdr:row>15</xdr:row>
      <xdr:rowOff>163022</xdr:rowOff>
    </xdr:from>
    <xdr:to>
      <xdr:col>6</xdr:col>
      <xdr:colOff>386951</xdr:colOff>
      <xdr:row>19</xdr:row>
      <xdr:rowOff>35032</xdr:rowOff>
    </xdr:to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268412</xdr:colOff>
      <xdr:row>19</xdr:row>
      <xdr:rowOff>35714</xdr:rowOff>
    </xdr:from>
    <xdr:to>
      <xdr:col>6</xdr:col>
      <xdr:colOff>392904</xdr:colOff>
      <xdr:row>23</xdr:row>
      <xdr:rowOff>5358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</xdr:col>
      <xdr:colOff>325437</xdr:colOff>
      <xdr:row>17</xdr:row>
      <xdr:rowOff>136920</xdr:rowOff>
    </xdr:from>
    <xdr:to>
      <xdr:col>9</xdr:col>
      <xdr:colOff>11905</xdr:colOff>
      <xdr:row>21</xdr:row>
      <xdr:rowOff>6918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oneCellAnchor>
    <xdr:from>
      <xdr:col>3</xdr:col>
      <xdr:colOff>217287</xdr:colOff>
      <xdr:row>23</xdr:row>
      <xdr:rowOff>83948</xdr:rowOff>
    </xdr:from>
    <xdr:ext cx="1345094" cy="934494"/>
    <xdr:sp macro="" textlink="data!E13">
      <xdr:nvSpPr>
        <xdr:cNvPr id="57" name="TextBox 56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SpPr txBox="1"/>
      </xdr:nvSpPr>
      <xdr:spPr>
        <a:xfrm>
          <a:off x="1382268" y="4655948"/>
          <a:ext cx="1345094" cy="9344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37809853-8450-42B2-AD83-0D0B90D36BAF}" type="TxLink">
            <a:rPr lang="en-US" sz="11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l"/>
            <a:t>42% 
have tried to stop smoking during the past 12 months</a:t>
          </a:fld>
          <a:endParaRPr lang="en-US" sz="7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twoCellAnchor editAs="oneCell">
    <xdr:from>
      <xdr:col>5</xdr:col>
      <xdr:colOff>551485</xdr:colOff>
      <xdr:row>23</xdr:row>
      <xdr:rowOff>133291</xdr:rowOff>
    </xdr:from>
    <xdr:to>
      <xdr:col>7</xdr:col>
      <xdr:colOff>117591</xdr:colOff>
      <xdr:row>25</xdr:row>
      <xdr:rowOff>552920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03427" y="4705291"/>
          <a:ext cx="753068" cy="800629"/>
        </a:xfrm>
        <a:prstGeom prst="rect">
          <a:avLst/>
        </a:prstGeom>
      </xdr:spPr>
    </xdr:pic>
    <xdr:clientData/>
  </xdr:twoCellAnchor>
  <xdr:oneCellAnchor>
    <xdr:from>
      <xdr:col>7</xdr:col>
      <xdr:colOff>172950</xdr:colOff>
      <xdr:row>22</xdr:row>
      <xdr:rowOff>178590</xdr:rowOff>
    </xdr:from>
    <xdr:ext cx="1875183" cy="1008371"/>
    <xdr:sp macro="" textlink="data!E14">
      <xdr:nvSpPr>
        <xdr:cNvPr id="60" name="TextBox 59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SpPr txBox="1"/>
      </xdr:nvSpPr>
      <xdr:spPr>
        <a:xfrm>
          <a:off x="3711854" y="4560090"/>
          <a:ext cx="1875183" cy="10083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CF0D0E11-1762-427B-ABE7-33C420D5D760}" type="TxLink">
            <a:rPr lang="en-US" sz="105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l"/>
            <a:t>36% 
have been advised by a health care professional to stop smoking </a:t>
          </a:fld>
          <a:endParaRPr lang="en-US" sz="105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twoCellAnchor>
    <xdr:from>
      <xdr:col>3</xdr:col>
      <xdr:colOff>535852</xdr:colOff>
      <xdr:row>26</xdr:row>
      <xdr:rowOff>125012</xdr:rowOff>
    </xdr:from>
    <xdr:to>
      <xdr:col>9</xdr:col>
      <xdr:colOff>366184</xdr:colOff>
      <xdr:row>30</xdr:row>
      <xdr:rowOff>125433</xdr:rowOff>
    </xdr:to>
    <xdr:graphicFrame macro="">
      <xdr:nvGraphicFramePr>
        <xdr:cNvPr id="65" name="Chart 64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oneCellAnchor>
    <xdr:from>
      <xdr:col>2</xdr:col>
      <xdr:colOff>33674</xdr:colOff>
      <xdr:row>7</xdr:row>
      <xdr:rowOff>59651</xdr:rowOff>
    </xdr:from>
    <xdr:ext cx="2667001" cy="286372"/>
    <xdr:sp macro="" textlink="data!A3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605174" y="1462424"/>
          <a:ext cx="2667001" cy="2863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C1BA2E1E-4BB3-EB47-BB1B-5BF7B1E0D05B}" type="TxLink">
            <a:rPr lang="en-US" sz="11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l"/>
            <a:t>of the population are current smokers</a:t>
          </a:fld>
          <a:endParaRPr lang="en-US" sz="7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7</xdr:col>
      <xdr:colOff>234477</xdr:colOff>
      <xdr:row>4</xdr:row>
      <xdr:rowOff>140571</xdr:rowOff>
    </xdr:from>
    <xdr:ext cx="476250" cy="300300"/>
    <xdr:sp macro="" textlink="data!A4">
      <xdr:nvSpPr>
        <xdr:cNvPr id="4" name="TextBox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3752774" y="1093071"/>
          <a:ext cx="476250" cy="3003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4B97A7F6-2608-EC47-A77B-DFD17A552DC1}" type="TxLink">
            <a:rPr lang="en-US" sz="900" b="0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of men</a:t>
          </a:fld>
          <a:endParaRPr lang="en-US" sz="900" b="0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7</xdr:col>
      <xdr:colOff>224896</xdr:colOff>
      <xdr:row>3</xdr:row>
      <xdr:rowOff>122792</xdr:rowOff>
    </xdr:from>
    <xdr:ext cx="476250" cy="300300"/>
    <xdr:sp macro="" textlink="data!B4">
      <xdr:nvSpPr>
        <xdr:cNvPr id="5" name="TextBox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3743193" y="884792"/>
          <a:ext cx="476250" cy="3003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92D06266-09E7-3F40-BD41-15634C6ECB05}" type="TxLink">
            <a:rPr lang="en-US" sz="18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16%</a:t>
          </a:fld>
          <a:endParaRPr lang="en-US" sz="18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9</xdr:col>
      <xdr:colOff>164521</xdr:colOff>
      <xdr:row>4</xdr:row>
      <xdr:rowOff>114833</xdr:rowOff>
    </xdr:from>
    <xdr:ext cx="497417" cy="300300"/>
    <xdr:sp macro="" textlink="data!K12">
      <xdr:nvSpPr>
        <xdr:cNvPr id="6" name="TextBox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4736521" y="1067333"/>
          <a:ext cx="497417" cy="3003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AEC3DE3A-4AF4-D847-B0D8-46E6DE54F5FF}" type="TxLink">
            <a:rPr lang="en-US" sz="700" b="0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 </a:t>
          </a:fld>
          <a:endParaRPr lang="en-US" sz="700" b="0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9</xdr:col>
      <xdr:colOff>459334</xdr:colOff>
      <xdr:row>3</xdr:row>
      <xdr:rowOff>60027</xdr:rowOff>
    </xdr:from>
    <xdr:ext cx="476250" cy="300300"/>
    <xdr:sp macro="" textlink="data!B5">
      <xdr:nvSpPr>
        <xdr:cNvPr id="7" name="TextBox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5001568" y="822027"/>
          <a:ext cx="476250" cy="3003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9C9B098A-FF09-DE43-926F-90ED467496B5}" type="TxLink">
            <a:rPr lang="en-US" sz="18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0%</a:t>
          </a:fld>
          <a:endParaRPr lang="en-US" sz="18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2</xdr:col>
      <xdr:colOff>34637</xdr:colOff>
      <xdr:row>9</xdr:row>
      <xdr:rowOff>25504</xdr:rowOff>
    </xdr:from>
    <xdr:ext cx="4736522" cy="286372"/>
    <xdr:sp macro="" textlink="data!A6">
      <xdr:nvSpPr>
        <xdr:cNvPr id="8" name="TextBox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606137" y="1895868"/>
          <a:ext cx="4736522" cy="2863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B03B0CB9-22C6-B844-ACF9-758645F06FE2}" type="TxLink">
            <a:rPr lang="en-US" sz="11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Among current smokers</a:t>
          </a:fld>
          <a:r>
            <a:rPr lang="en-US" sz="11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t> ...</a:t>
          </a:r>
          <a:endParaRPr lang="en-US" sz="7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3</xdr:col>
      <xdr:colOff>556284</xdr:colOff>
      <xdr:row>16</xdr:row>
      <xdr:rowOff>59212</xdr:rowOff>
    </xdr:from>
    <xdr:ext cx="705777" cy="449090"/>
    <xdr:sp macro="" textlink="data!A8">
      <xdr:nvSpPr>
        <xdr:cNvPr id="9" name="TextBox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/>
      </xdr:nvSpPr>
      <xdr:spPr>
        <a:xfrm>
          <a:off x="1721265" y="3297712"/>
          <a:ext cx="705777" cy="44909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C69F7B91-65AF-3C44-A447-2B219969CF6B}" type="TxLink">
            <a:rPr lang="en-US" sz="7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l"/>
            <a:t>smoke manufactured cigarettes</a:t>
          </a:fld>
          <a:endParaRPr lang="en-US" sz="7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2</xdr:col>
      <xdr:colOff>572080</xdr:colOff>
      <xdr:row>16</xdr:row>
      <xdr:rowOff>129947</xdr:rowOff>
    </xdr:from>
    <xdr:ext cx="476250" cy="300300"/>
    <xdr:sp macro="" textlink="data!B8">
      <xdr:nvSpPr>
        <xdr:cNvPr id="10" name="TextBox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 txBox="1"/>
      </xdr:nvSpPr>
      <xdr:spPr>
        <a:xfrm>
          <a:off x="1143580" y="3368447"/>
          <a:ext cx="476250" cy="3003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197F86C0-3415-AF45-85C4-67E07C937AD7}" type="TxLink">
            <a:rPr lang="en-US" sz="11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83%</a:t>
          </a:fld>
          <a:endParaRPr lang="en-US" sz="10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3</xdr:col>
      <xdr:colOff>540411</xdr:colOff>
      <xdr:row>19</xdr:row>
      <xdr:rowOff>152171</xdr:rowOff>
    </xdr:from>
    <xdr:ext cx="566870" cy="484809"/>
    <xdr:sp macro="" textlink="data!A9">
      <xdr:nvSpPr>
        <xdr:cNvPr id="11" name="TextBox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 txBox="1"/>
      </xdr:nvSpPr>
      <xdr:spPr>
        <a:xfrm>
          <a:off x="1701270" y="3962171"/>
          <a:ext cx="566870" cy="4848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608138F7-11A5-F949-AEF7-330D5582BCAC}" type="TxLink">
            <a:rPr lang="en-US" sz="7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l"/>
            <a:t>smoke hand-rolled cigarettes</a:t>
          </a:fld>
          <a:endParaRPr lang="en-US" sz="7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2</xdr:col>
      <xdr:colOff>552633</xdr:colOff>
      <xdr:row>20</xdr:row>
      <xdr:rowOff>53014</xdr:rowOff>
    </xdr:from>
    <xdr:ext cx="476250" cy="300300"/>
    <xdr:sp macro="" textlink="data!B9">
      <xdr:nvSpPr>
        <xdr:cNvPr id="12" name="TextBox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/>
      </xdr:nvSpPr>
      <xdr:spPr>
        <a:xfrm>
          <a:off x="1124133" y="4053514"/>
          <a:ext cx="476250" cy="3003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1E87772D-C2BA-5745-9270-B0999DF337B8}" type="TxLink">
            <a:rPr lang="en-US" sz="11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15%</a:t>
          </a:fld>
          <a:endParaRPr lang="en-US" sz="11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6</xdr:col>
      <xdr:colOff>381659</xdr:colOff>
      <xdr:row>16</xdr:row>
      <xdr:rowOff>106835</xdr:rowOff>
    </xdr:from>
    <xdr:ext cx="476250" cy="392205"/>
    <xdr:sp macro="" textlink="data!A10">
      <xdr:nvSpPr>
        <xdr:cNvPr id="13" name="TextBox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 txBox="1"/>
      </xdr:nvSpPr>
      <xdr:spPr>
        <a:xfrm>
          <a:off x="3327082" y="3345335"/>
          <a:ext cx="476250" cy="392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096942B8-7B19-8F42-BB98-A83F0C410653}" type="TxLink">
            <a:rPr lang="en-US" sz="7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l"/>
            <a:t>smoke cigars, cheroots or cigarillos</a:t>
          </a:fld>
          <a:endParaRPr lang="en-US" sz="7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5</xdr:col>
      <xdr:colOff>385548</xdr:colOff>
      <xdr:row>16</xdr:row>
      <xdr:rowOff>150554</xdr:rowOff>
    </xdr:from>
    <xdr:ext cx="476250" cy="300300"/>
    <xdr:sp macro="" textlink="data!B10">
      <xdr:nvSpPr>
        <xdr:cNvPr id="14" name="TextBox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 txBox="1"/>
      </xdr:nvSpPr>
      <xdr:spPr>
        <a:xfrm>
          <a:off x="2737490" y="3389054"/>
          <a:ext cx="476250" cy="3003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D4D73F61-BBEA-9843-8233-1EC17C8A0D9B}" type="TxLink">
            <a:rPr lang="en-US" sz="11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10%</a:t>
          </a:fld>
          <a:endParaRPr lang="en-US" sz="11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6</xdr:col>
      <xdr:colOff>377031</xdr:colOff>
      <xdr:row>20</xdr:row>
      <xdr:rowOff>18558</xdr:rowOff>
    </xdr:from>
    <xdr:ext cx="497416" cy="445121"/>
    <xdr:sp macro="" textlink="data!A11">
      <xdr:nvSpPr>
        <xdr:cNvPr id="15" name="TextBox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 txBox="1"/>
      </xdr:nvSpPr>
      <xdr:spPr>
        <a:xfrm>
          <a:off x="3305969" y="4019058"/>
          <a:ext cx="497416" cy="445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833743F8-2213-664C-BCCD-C2D9227D0B5F}" type="TxLink">
            <a:rPr lang="en-US" sz="7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l"/>
            <a:t>smoke pipes</a:t>
          </a:fld>
          <a:endParaRPr lang="en-US" sz="7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5</xdr:col>
      <xdr:colOff>376341</xdr:colOff>
      <xdr:row>20</xdr:row>
      <xdr:rowOff>80135</xdr:rowOff>
    </xdr:from>
    <xdr:ext cx="476250" cy="300300"/>
    <xdr:sp macro="" textlink="data!B11">
      <xdr:nvSpPr>
        <xdr:cNvPr id="16" name="TextBox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 txBox="1"/>
      </xdr:nvSpPr>
      <xdr:spPr>
        <a:xfrm>
          <a:off x="2728283" y="4080635"/>
          <a:ext cx="476250" cy="3003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4D6DFFCE-CEB2-514C-A193-78728480FCFF}" type="TxLink">
            <a:rPr lang="en-US" sz="11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16%</a:t>
          </a:fld>
          <a:endParaRPr lang="en-US" sz="11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9</xdr:col>
      <xdr:colOff>15212</xdr:colOff>
      <xdr:row>18</xdr:row>
      <xdr:rowOff>61553</xdr:rowOff>
    </xdr:from>
    <xdr:ext cx="508000" cy="445121"/>
    <xdr:sp macro="" textlink="data!A12">
      <xdr:nvSpPr>
        <xdr:cNvPr id="17" name="TextBox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 txBox="1"/>
      </xdr:nvSpPr>
      <xdr:spPr>
        <a:xfrm>
          <a:off x="4557446" y="3681053"/>
          <a:ext cx="508000" cy="445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E17DE699-7BAE-6D45-B675-97B69B3883A2}" type="TxLink">
            <a:rPr lang="en-US" sz="7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l"/>
            <a:t>smoke shisha</a:t>
          </a:fld>
          <a:endParaRPr lang="en-US" sz="7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7</xdr:col>
      <xdr:colOff>425897</xdr:colOff>
      <xdr:row>18</xdr:row>
      <xdr:rowOff>120383</xdr:rowOff>
    </xdr:from>
    <xdr:ext cx="476250" cy="300300"/>
    <xdr:sp macro="" textlink="data!B12">
      <xdr:nvSpPr>
        <xdr:cNvPr id="18" name="TextBox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 txBox="1"/>
      </xdr:nvSpPr>
      <xdr:spPr>
        <a:xfrm>
          <a:off x="3944194" y="3739883"/>
          <a:ext cx="476250" cy="3003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94CC4A37-5648-224E-8A7E-9614293B9845}" type="TxLink">
            <a:rPr lang="en-US" sz="11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15%</a:t>
          </a:fld>
          <a:endParaRPr lang="en-US" sz="11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3</xdr:col>
      <xdr:colOff>18134</xdr:colOff>
      <xdr:row>33</xdr:row>
      <xdr:rowOff>138754</xdr:rowOff>
    </xdr:from>
    <xdr:ext cx="4178822" cy="464071"/>
    <xdr:sp macro="" textlink="data!A16">
      <xdr:nvSpPr>
        <xdr:cNvPr id="19" name="TextBox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 txBox="1"/>
      </xdr:nvSpPr>
      <xdr:spPr>
        <a:xfrm>
          <a:off x="1183115" y="7458350"/>
          <a:ext cx="4178822" cy="4640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DD26F34B-4F9C-42A5-B9FC-30BB8B8C4DD7}" type="TxLink">
            <a:rPr lang="en-US" sz="12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l"/>
            <a:t>of the population currently use any tobacco products</a:t>
          </a:fld>
          <a:endParaRPr lang="en-US" sz="12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4</xdr:col>
      <xdr:colOff>23187</xdr:colOff>
      <xdr:row>30</xdr:row>
      <xdr:rowOff>114026</xdr:rowOff>
    </xdr:from>
    <xdr:ext cx="3418177" cy="422672"/>
    <xdr:sp macro="" textlink="data!A15">
      <xdr:nvSpPr>
        <xdr:cNvPr id="22" name="TextBox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 txBox="1"/>
      </xdr:nvSpPr>
      <xdr:spPr>
        <a:xfrm>
          <a:off x="1781649" y="6774199"/>
          <a:ext cx="3418177" cy="4226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796EAC61-7877-A94C-B8DA-71E132147EE0}" type="TxLink">
            <a:rPr lang="en-US" sz="11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l"/>
            <a:t>of the population are current smokeless users</a:t>
          </a:fld>
          <a:endParaRPr lang="en-US" sz="7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twoCellAnchor editAs="oneCell">
    <xdr:from>
      <xdr:col>1</xdr:col>
      <xdr:colOff>91936</xdr:colOff>
      <xdr:row>3</xdr:row>
      <xdr:rowOff>65486</xdr:rowOff>
    </xdr:from>
    <xdr:to>
      <xdr:col>6</xdr:col>
      <xdr:colOff>147854</xdr:colOff>
      <xdr:row>6</xdr:row>
      <xdr:rowOff>156200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19071" y="827486"/>
          <a:ext cx="2774206" cy="662214"/>
        </a:xfrm>
        <a:prstGeom prst="rect">
          <a:avLst/>
        </a:prstGeom>
      </xdr:spPr>
    </xdr:pic>
    <xdr:clientData/>
  </xdr:twoCellAnchor>
  <xdr:twoCellAnchor editAs="oneCell">
    <xdr:from>
      <xdr:col>2</xdr:col>
      <xdr:colOff>119118</xdr:colOff>
      <xdr:row>26</xdr:row>
      <xdr:rowOff>253379</xdr:rowOff>
    </xdr:from>
    <xdr:to>
      <xdr:col>3</xdr:col>
      <xdr:colOff>537155</xdr:colOff>
      <xdr:row>30</xdr:row>
      <xdr:rowOff>79323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E5A31CF6-3556-D3F7-2D2E-4DA0AC8AC8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0618" y="6056302"/>
          <a:ext cx="1011518" cy="683194"/>
        </a:xfrm>
        <a:prstGeom prst="rect">
          <a:avLst/>
        </a:prstGeom>
      </xdr:spPr>
    </xdr:pic>
    <xdr:clientData/>
  </xdr:twoCellAnchor>
  <xdr:twoCellAnchor editAs="oneCell">
    <xdr:from>
      <xdr:col>1</xdr:col>
      <xdr:colOff>264981</xdr:colOff>
      <xdr:row>23</xdr:row>
      <xdr:rowOff>182715</xdr:rowOff>
    </xdr:from>
    <xdr:to>
      <xdr:col>3</xdr:col>
      <xdr:colOff>117481</xdr:colOff>
      <xdr:row>25</xdr:row>
      <xdr:rowOff>609864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35DF9202-20AC-56BA-EC26-CA74D942F3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116" y="4754715"/>
          <a:ext cx="790346" cy="808149"/>
        </a:xfrm>
        <a:prstGeom prst="rect">
          <a:avLst/>
        </a:prstGeom>
      </xdr:spPr>
    </xdr:pic>
    <xdr:clientData/>
  </xdr:twoCellAnchor>
  <xdr:twoCellAnchor editAs="oneCell">
    <xdr:from>
      <xdr:col>4</xdr:col>
      <xdr:colOff>43967</xdr:colOff>
      <xdr:row>26</xdr:row>
      <xdr:rowOff>273380</xdr:rowOff>
    </xdr:from>
    <xdr:to>
      <xdr:col>8</xdr:col>
      <xdr:colOff>500936</xdr:colOff>
      <xdr:row>30</xdr:row>
      <xdr:rowOff>78394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2AEE4E85-C1E6-EC15-1A76-3E47B1977A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802429" y="6076303"/>
          <a:ext cx="2750295" cy="662264"/>
        </a:xfrm>
        <a:prstGeom prst="rect">
          <a:avLst/>
        </a:prstGeom>
      </xdr:spPr>
    </xdr:pic>
    <xdr:clientData/>
  </xdr:twoCellAnchor>
  <xdr:oneCellAnchor>
    <xdr:from>
      <xdr:col>9</xdr:col>
      <xdr:colOff>482903</xdr:colOff>
      <xdr:row>4</xdr:row>
      <xdr:rowOff>129218</xdr:rowOff>
    </xdr:from>
    <xdr:ext cx="437030" cy="313764"/>
    <xdr:sp macro="" textlink="data!A5">
      <xdr:nvSpPr>
        <xdr:cNvPr id="37" name="TextBox 36">
          <a:extLst>
            <a:ext uri="{FF2B5EF4-FFF2-40B4-BE49-F238E27FC236}">
              <a16:creationId xmlns:a16="http://schemas.microsoft.com/office/drawing/2014/main" id="{F14154BC-180F-4E2C-9B7A-66700813032D}"/>
            </a:ext>
          </a:extLst>
        </xdr:cNvPr>
        <xdr:cNvSpPr txBox="1"/>
      </xdr:nvSpPr>
      <xdr:spPr>
        <a:xfrm>
          <a:off x="5025137" y="1081718"/>
          <a:ext cx="437030" cy="3137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2E1A8464-18F0-4F76-8277-D81AA75BA93E}" type="TxLink">
            <a:rPr lang="en-US" sz="900" b="0" i="0" u="none" strike="noStrike" baseline="0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of women</a:t>
          </a:fld>
          <a:endParaRPr lang="en-US" sz="900" b="0" i="0" u="none" strike="noStrike" baseline="0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4</xdr:col>
      <xdr:colOff>425170</xdr:colOff>
      <xdr:row>12</xdr:row>
      <xdr:rowOff>41338</xdr:rowOff>
    </xdr:from>
    <xdr:ext cx="476250" cy="300300"/>
    <xdr:sp macro="" textlink="data!B7">
      <xdr:nvSpPr>
        <xdr:cNvPr id="38" name="TextBox 37">
          <a:extLst>
            <a:ext uri="{FF2B5EF4-FFF2-40B4-BE49-F238E27FC236}">
              <a16:creationId xmlns:a16="http://schemas.microsoft.com/office/drawing/2014/main" id="{9C404ABA-1601-4D48-9643-7E5ACB177EBD}"/>
            </a:ext>
          </a:extLst>
        </xdr:cNvPr>
        <xdr:cNvSpPr txBox="1"/>
      </xdr:nvSpPr>
      <xdr:spPr>
        <a:xfrm>
          <a:off x="2175389" y="2517838"/>
          <a:ext cx="476250" cy="3003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0C4BEF08-F2A3-41AB-93CE-2C79F9C9AD8C}" type="TxLink">
            <a:rPr lang="en-US" sz="13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77%</a:t>
          </a:fld>
          <a:endParaRPr lang="en-US" sz="13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5</xdr:col>
      <xdr:colOff>502563</xdr:colOff>
      <xdr:row>11</xdr:row>
      <xdr:rowOff>142540</xdr:rowOff>
    </xdr:from>
    <xdr:ext cx="1313143" cy="445121"/>
    <xdr:sp macro="" textlink="data!A7">
      <xdr:nvSpPr>
        <xdr:cNvPr id="41" name="TextBox 40">
          <a:extLst>
            <a:ext uri="{FF2B5EF4-FFF2-40B4-BE49-F238E27FC236}">
              <a16:creationId xmlns:a16="http://schemas.microsoft.com/office/drawing/2014/main" id="{673E44C4-209C-4AE8-942E-C145E88A5D0F}"/>
            </a:ext>
          </a:extLst>
        </xdr:cNvPr>
        <xdr:cNvSpPr txBox="1"/>
      </xdr:nvSpPr>
      <xdr:spPr>
        <a:xfrm>
          <a:off x="2842141" y="2428540"/>
          <a:ext cx="1313143" cy="445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DDF20A3E-C29E-4B4C-B2BF-5228A7E3B4DB}" type="TxLink">
            <a:rPr lang="en-US" sz="11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l"/>
            <a:t>smoke daily</a:t>
          </a:fld>
          <a:endParaRPr lang="en-US" sz="7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twoCellAnchor editAs="oneCell">
    <xdr:from>
      <xdr:col>3</xdr:col>
      <xdr:colOff>0</xdr:colOff>
      <xdr:row>30</xdr:row>
      <xdr:rowOff>0</xdr:rowOff>
    </xdr:from>
    <xdr:to>
      <xdr:col>4</xdr:col>
      <xdr:colOff>9524</xdr:colOff>
      <xdr:row>31</xdr:row>
      <xdr:rowOff>9525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236A1A74-324D-257C-98AE-EC55D62BF9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2600" y="6657975"/>
          <a:ext cx="600075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</xdr:col>
      <xdr:colOff>0</xdr:colOff>
      <xdr:row>30</xdr:row>
      <xdr:rowOff>0</xdr:rowOff>
    </xdr:from>
    <xdr:ext cx="598884" cy="200025"/>
    <xdr:pic>
      <xdr:nvPicPr>
        <xdr:cNvPr id="49" name="Picture 48">
          <a:extLst>
            <a:ext uri="{FF2B5EF4-FFF2-40B4-BE49-F238E27FC236}">
              <a16:creationId xmlns:a16="http://schemas.microsoft.com/office/drawing/2014/main" id="{87EC77A7-7F8E-434E-8633-EA91AB1750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0219" y="6655594"/>
          <a:ext cx="598884" cy="20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>
    <xdr:from>
      <xdr:col>1</xdr:col>
      <xdr:colOff>267893</xdr:colOff>
      <xdr:row>33</xdr:row>
      <xdr:rowOff>192332</xdr:rowOff>
    </xdr:from>
    <xdr:to>
      <xdr:col>3</xdr:col>
      <xdr:colOff>35721</xdr:colOff>
      <xdr:row>35</xdr:row>
      <xdr:rowOff>150660</xdr:rowOff>
    </xdr:to>
    <xdr:sp macro="" textlink="data!B16">
      <xdr:nvSpPr>
        <xdr:cNvPr id="51" name="TextBox 50">
          <a:extLst>
            <a:ext uri="{FF2B5EF4-FFF2-40B4-BE49-F238E27FC236}">
              <a16:creationId xmlns:a16="http://schemas.microsoft.com/office/drawing/2014/main" id="{0BE13A8A-1DF4-930E-7530-A8151CB10681}"/>
            </a:ext>
          </a:extLst>
        </xdr:cNvPr>
        <xdr:cNvSpPr txBox="1"/>
      </xdr:nvSpPr>
      <xdr:spPr>
        <a:xfrm>
          <a:off x="495028" y="7511928"/>
          <a:ext cx="705674" cy="4419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r"/>
          <a:fld id="{3C9B58EA-BAB3-42B2-BEF0-DDC3D3F3560E}" type="TxLink">
            <a:rPr lang="en-US" sz="1500" b="1" i="0" u="none" strike="noStrike" kern="1200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algn="r"/>
            <a:t>11%</a:t>
          </a:fld>
          <a:endParaRPr lang="en-GB" sz="1500" b="1" kern="1200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73602</xdr:colOff>
      <xdr:row>15</xdr:row>
      <xdr:rowOff>4330</xdr:rowOff>
    </xdr:from>
    <xdr:to>
      <xdr:col>8</xdr:col>
      <xdr:colOff>186764</xdr:colOff>
      <xdr:row>23</xdr:row>
      <xdr:rowOff>122208</xdr:rowOff>
    </xdr:to>
    <xdr:sp macro="" textlink="">
      <xdr:nvSpPr>
        <xdr:cNvPr id="3088" name="Rectangle: Rounded Corners 41">
          <a:extLst>
            <a:ext uri="{FF2B5EF4-FFF2-40B4-BE49-F238E27FC236}">
              <a16:creationId xmlns:a16="http://schemas.microsoft.com/office/drawing/2014/main" id="{00000000-0008-0000-0200-0000100C0000}"/>
            </a:ext>
          </a:extLst>
        </xdr:cNvPr>
        <xdr:cNvSpPr/>
      </xdr:nvSpPr>
      <xdr:spPr>
        <a:xfrm flipH="1" flipV="1">
          <a:off x="73602" y="3052330"/>
          <a:ext cx="4040060" cy="1641878"/>
        </a:xfrm>
        <a:prstGeom prst="roundRect">
          <a:avLst/>
        </a:prstGeom>
        <a:solidFill>
          <a:srgbClr val="DDBE8B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119118</xdr:colOff>
      <xdr:row>2</xdr:row>
      <xdr:rowOff>112059</xdr:rowOff>
    </xdr:from>
    <xdr:to>
      <xdr:col>6</xdr:col>
      <xdr:colOff>40761</xdr:colOff>
      <xdr:row>6</xdr:row>
      <xdr:rowOff>173019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158325</xdr:colOff>
      <xdr:row>3</xdr:row>
      <xdr:rowOff>42969</xdr:rowOff>
    </xdr:from>
    <xdr:to>
      <xdr:col>17</xdr:col>
      <xdr:colOff>398827</xdr:colOff>
      <xdr:row>8</xdr:row>
      <xdr:rowOff>85012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1991</xdr:colOff>
      <xdr:row>8</xdr:row>
      <xdr:rowOff>113188</xdr:rowOff>
    </xdr:from>
    <xdr:to>
      <xdr:col>6</xdr:col>
      <xdr:colOff>45842</xdr:colOff>
      <xdr:row>12</xdr:row>
      <xdr:rowOff>163761</xdr:rowOff>
    </xdr:to>
    <xdr:graphicFrame macro="">
      <xdr:nvGraphicFramePr>
        <xdr:cNvPr id="63" name="Chart 62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440764</xdr:colOff>
      <xdr:row>4</xdr:row>
      <xdr:rowOff>38454</xdr:rowOff>
    </xdr:from>
    <xdr:to>
      <xdr:col>9</xdr:col>
      <xdr:colOff>3728</xdr:colOff>
      <xdr:row>13</xdr:row>
      <xdr:rowOff>51953</xdr:rowOff>
    </xdr:to>
    <xdr:sp macro="" textlink="">
      <xdr:nvSpPr>
        <xdr:cNvPr id="3077" name="Rectangle: Rounded Corners 41">
          <a:extLst>
            <a:ext uri="{FF2B5EF4-FFF2-40B4-BE49-F238E27FC236}">
              <a16:creationId xmlns:a16="http://schemas.microsoft.com/office/drawing/2014/main" id="{00000000-0008-0000-0200-0000050C0000}"/>
            </a:ext>
          </a:extLst>
        </xdr:cNvPr>
        <xdr:cNvSpPr/>
      </xdr:nvSpPr>
      <xdr:spPr>
        <a:xfrm flipH="1" flipV="1">
          <a:off x="2674809" y="990954"/>
          <a:ext cx="1446317" cy="1727999"/>
        </a:xfrm>
        <a:prstGeom prst="roundRect">
          <a:avLst/>
        </a:prstGeom>
        <a:solidFill>
          <a:srgbClr val="DDBE8B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498558</xdr:colOff>
      <xdr:row>4</xdr:row>
      <xdr:rowOff>90920</xdr:rowOff>
    </xdr:from>
    <xdr:to>
      <xdr:col>6</xdr:col>
      <xdr:colOff>567170</xdr:colOff>
      <xdr:row>8</xdr:row>
      <xdr:rowOff>23443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25540</xdr:colOff>
      <xdr:row>4</xdr:row>
      <xdr:rowOff>10179</xdr:rowOff>
    </xdr:from>
    <xdr:to>
      <xdr:col>8</xdr:col>
      <xdr:colOff>174354</xdr:colOff>
      <xdr:row>8</xdr:row>
      <xdr:rowOff>56197</xdr:rowOff>
    </xdr:to>
    <xdr:graphicFrame macro="">
      <xdr:nvGraphicFramePr>
        <xdr:cNvPr id="3085" name="Chart 3084">
          <a:extLst>
            <a:ext uri="{FF2B5EF4-FFF2-40B4-BE49-F238E27FC236}">
              <a16:creationId xmlns:a16="http://schemas.microsoft.com/office/drawing/2014/main" id="{00000000-0008-0000-0200-00000D0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21221</xdr:colOff>
      <xdr:row>7</xdr:row>
      <xdr:rowOff>143068</xdr:rowOff>
    </xdr:from>
    <xdr:to>
      <xdr:col>8</xdr:col>
      <xdr:colOff>170035</xdr:colOff>
      <xdr:row>11</xdr:row>
      <xdr:rowOff>185744</xdr:rowOff>
    </xdr:to>
    <xdr:graphicFrame macro="">
      <xdr:nvGraphicFramePr>
        <xdr:cNvPr id="3087" name="Chart 3086">
          <a:extLst>
            <a:ext uri="{FF2B5EF4-FFF2-40B4-BE49-F238E27FC236}">
              <a16:creationId xmlns:a16="http://schemas.microsoft.com/office/drawing/2014/main" id="{00000000-0008-0000-0200-00000F0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oneCellAnchor>
    <xdr:from>
      <xdr:col>6</xdr:col>
      <xdr:colOff>58492</xdr:colOff>
      <xdr:row>5</xdr:row>
      <xdr:rowOff>76053</xdr:rowOff>
    </xdr:from>
    <xdr:ext cx="349710" cy="331419"/>
    <xdr:sp macro="" textlink="data!E20">
      <xdr:nvSpPr>
        <xdr:cNvPr id="41" name="TextBox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 txBox="1"/>
      </xdr:nvSpPr>
      <xdr:spPr>
        <a:xfrm>
          <a:off x="2881356" y="1219053"/>
          <a:ext cx="349710" cy="3314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17D286CD-734A-EB47-884D-FF6C0ABF6825}" type="TxLink">
            <a:rPr lang="en-US" sz="600" b="0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2% 
of men</a:t>
          </a:fld>
          <a:endParaRPr lang="en-US" sz="6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3</xdr:col>
      <xdr:colOff>543693</xdr:colOff>
      <xdr:row>17</xdr:row>
      <xdr:rowOff>15812</xdr:rowOff>
    </xdr:from>
    <xdr:ext cx="489305" cy="268945"/>
    <xdr:sp macro="" textlink="data!B27">
      <xdr:nvSpPr>
        <xdr:cNvPr id="3091" name="TextBox 3090">
          <a:extLst>
            <a:ext uri="{FF2B5EF4-FFF2-40B4-BE49-F238E27FC236}">
              <a16:creationId xmlns:a16="http://schemas.microsoft.com/office/drawing/2014/main" id="{00000000-0008-0000-0200-0000130C0000}"/>
            </a:ext>
          </a:extLst>
        </xdr:cNvPr>
        <xdr:cNvSpPr txBox="1"/>
      </xdr:nvSpPr>
      <xdr:spPr>
        <a:xfrm>
          <a:off x="1601469" y="3444812"/>
          <a:ext cx="489305" cy="2689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E1B73C7B-0376-E946-8198-F4A2409E4FA0}" type="TxLink">
            <a:rPr lang="en-US" sz="11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0%</a:t>
          </a:fld>
          <a:endParaRPr lang="en-US" sz="11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twoCellAnchor editAs="oneCell">
    <xdr:from>
      <xdr:col>7</xdr:col>
      <xdr:colOff>182534</xdr:colOff>
      <xdr:row>20</xdr:row>
      <xdr:rowOff>126439</xdr:rowOff>
    </xdr:from>
    <xdr:to>
      <xdr:col>7</xdr:col>
      <xdr:colOff>415636</xdr:colOff>
      <xdr:row>23</xdr:row>
      <xdr:rowOff>29011</xdr:rowOff>
    </xdr:to>
    <xdr:pic>
      <xdr:nvPicPr>
        <xdr:cNvPr id="3099" name="Picture 3098">
          <a:extLst>
            <a:ext uri="{FF2B5EF4-FFF2-40B4-BE49-F238E27FC236}">
              <a16:creationId xmlns:a16="http://schemas.microsoft.com/office/drawing/2014/main" id="{00000000-0008-0000-0200-00001B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94216" y="4126939"/>
          <a:ext cx="233102" cy="474072"/>
        </a:xfrm>
        <a:prstGeom prst="rect">
          <a:avLst/>
        </a:prstGeom>
      </xdr:spPr>
    </xdr:pic>
    <xdr:clientData/>
  </xdr:twoCellAnchor>
  <xdr:twoCellAnchor editAs="oneCell">
    <xdr:from>
      <xdr:col>7</xdr:col>
      <xdr:colOff>218211</xdr:colOff>
      <xdr:row>16</xdr:row>
      <xdr:rowOff>103730</xdr:rowOff>
    </xdr:from>
    <xdr:to>
      <xdr:col>7</xdr:col>
      <xdr:colOff>406977</xdr:colOff>
      <xdr:row>19</xdr:row>
      <xdr:rowOff>9149</xdr:rowOff>
    </xdr:to>
    <xdr:pic>
      <xdr:nvPicPr>
        <xdr:cNvPr id="3104" name="Picture 3103">
          <a:extLst>
            <a:ext uri="{FF2B5EF4-FFF2-40B4-BE49-F238E27FC236}">
              <a16:creationId xmlns:a16="http://schemas.microsoft.com/office/drawing/2014/main" id="{00000000-0008-0000-0200-000020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29893" y="3342230"/>
          <a:ext cx="188766" cy="476919"/>
        </a:xfrm>
        <a:prstGeom prst="rect">
          <a:avLst/>
        </a:prstGeom>
      </xdr:spPr>
    </xdr:pic>
    <xdr:clientData/>
  </xdr:twoCellAnchor>
  <xdr:oneCellAnchor>
    <xdr:from>
      <xdr:col>6</xdr:col>
      <xdr:colOff>1355</xdr:colOff>
      <xdr:row>19</xdr:row>
      <xdr:rowOff>14938</xdr:rowOff>
    </xdr:from>
    <xdr:ext cx="280065" cy="306295"/>
    <xdr:sp macro="" textlink="data!#REF!">
      <xdr:nvSpPr>
        <xdr:cNvPr id="3107" name="TextBox 3106">
          <a:extLst>
            <a:ext uri="{FF2B5EF4-FFF2-40B4-BE49-F238E27FC236}">
              <a16:creationId xmlns:a16="http://schemas.microsoft.com/office/drawing/2014/main" id="{00000000-0008-0000-0200-0000230C0000}"/>
            </a:ext>
          </a:extLst>
        </xdr:cNvPr>
        <xdr:cNvSpPr txBox="1"/>
      </xdr:nvSpPr>
      <xdr:spPr>
        <a:xfrm>
          <a:off x="2824219" y="3824938"/>
          <a:ext cx="280065" cy="3062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89AE20FB-FB1B-4392-83C1-6D406EAADFAD}" type="TxLink">
            <a:rPr lang="en-US" sz="700" b="1" i="0" u="none" strike="noStrike">
              <a:solidFill>
                <a:srgbClr val="D9D9D9"/>
              </a:solidFill>
              <a:latin typeface="Aptos Narrow"/>
              <a:ea typeface="+mn-ea"/>
              <a:cs typeface="+mn-cs"/>
            </a:rPr>
            <a:pPr marL="0" indent="0" algn="l"/>
            <a:t> </a:t>
          </a:fld>
          <a:endParaRPr lang="en-US" sz="700" b="1" i="0" u="none" strike="noStrike">
            <a:solidFill>
              <a:srgbClr val="D9D9D9"/>
            </a:solidFill>
            <a:latin typeface="Aptos Narrow"/>
            <a:ea typeface="+mn-ea"/>
            <a:cs typeface="+mn-cs"/>
          </a:endParaRPr>
        </a:p>
      </xdr:txBody>
    </xdr:sp>
    <xdr:clientData/>
  </xdr:oneCellAnchor>
  <xdr:oneCellAnchor>
    <xdr:from>
      <xdr:col>7</xdr:col>
      <xdr:colOff>147101</xdr:colOff>
      <xdr:row>5</xdr:row>
      <xdr:rowOff>17317</xdr:rowOff>
    </xdr:from>
    <xdr:ext cx="391314" cy="412026"/>
    <xdr:sp macro="" textlink="data!E21">
      <xdr:nvSpPr>
        <xdr:cNvPr id="3109" name="TextBox 3108">
          <a:extLst>
            <a:ext uri="{FF2B5EF4-FFF2-40B4-BE49-F238E27FC236}">
              <a16:creationId xmlns:a16="http://schemas.microsoft.com/office/drawing/2014/main" id="{00000000-0008-0000-0200-0000250C0000}"/>
            </a:ext>
          </a:extLst>
        </xdr:cNvPr>
        <xdr:cNvSpPr txBox="1"/>
      </xdr:nvSpPr>
      <xdr:spPr>
        <a:xfrm>
          <a:off x="3558783" y="1160317"/>
          <a:ext cx="391314" cy="4120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20D49FC4-229C-0F4F-A2C9-A58E39B61DD5}" type="TxLink">
            <a:rPr lang="en-US" sz="600" b="0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0% 
of women</a:t>
          </a:fld>
          <a:endParaRPr lang="en-US" sz="6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twoCellAnchor>
    <xdr:from>
      <xdr:col>5</xdr:col>
      <xdr:colOff>505186</xdr:colOff>
      <xdr:row>7</xdr:row>
      <xdr:rowOff>158986</xdr:rowOff>
    </xdr:from>
    <xdr:to>
      <xdr:col>6</xdr:col>
      <xdr:colOff>545303</xdr:colOff>
      <xdr:row>12</xdr:row>
      <xdr:rowOff>14111</xdr:rowOff>
    </xdr:to>
    <xdr:graphicFrame macro="">
      <xdr:nvGraphicFramePr>
        <xdr:cNvPr id="3110" name="Chart 3109">
          <a:extLst>
            <a:ext uri="{FF2B5EF4-FFF2-40B4-BE49-F238E27FC236}">
              <a16:creationId xmlns:a16="http://schemas.microsoft.com/office/drawing/2014/main" id="{00000000-0008-0000-0200-0000260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oneCellAnchor>
    <xdr:from>
      <xdr:col>5</xdr:col>
      <xdr:colOff>588684</xdr:colOff>
      <xdr:row>8</xdr:row>
      <xdr:rowOff>134215</xdr:rowOff>
    </xdr:from>
    <xdr:ext cx="467727" cy="455507"/>
    <xdr:sp macro="" textlink="data!E22">
      <xdr:nvSpPr>
        <xdr:cNvPr id="3111" name="TextBox 3110">
          <a:extLst>
            <a:ext uri="{FF2B5EF4-FFF2-40B4-BE49-F238E27FC236}">
              <a16:creationId xmlns:a16="http://schemas.microsoft.com/office/drawing/2014/main" id="{00000000-0008-0000-0200-0000270C0000}"/>
            </a:ext>
          </a:extLst>
        </xdr:cNvPr>
        <xdr:cNvSpPr txBox="1"/>
      </xdr:nvSpPr>
      <xdr:spPr>
        <a:xfrm>
          <a:off x="2822729" y="1848715"/>
          <a:ext cx="467727" cy="45550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669EE5C4-8B78-F54F-9710-3F958F561EA0}" type="TxLink">
            <a:rPr lang="en-US" sz="600" b="0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2% 
of 18-44 years</a:t>
          </a:fld>
          <a:endParaRPr lang="en-US" sz="6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7</xdr:col>
      <xdr:colOff>100268</xdr:colOff>
      <xdr:row>8</xdr:row>
      <xdr:rowOff>50183</xdr:rowOff>
    </xdr:from>
    <xdr:ext cx="478118" cy="578069"/>
    <xdr:sp macro="" textlink="data!E23">
      <xdr:nvSpPr>
        <xdr:cNvPr id="3112" name="TextBox 3111">
          <a:extLst>
            <a:ext uri="{FF2B5EF4-FFF2-40B4-BE49-F238E27FC236}">
              <a16:creationId xmlns:a16="http://schemas.microsoft.com/office/drawing/2014/main" id="{00000000-0008-0000-0200-0000280C0000}"/>
            </a:ext>
          </a:extLst>
        </xdr:cNvPr>
        <xdr:cNvSpPr txBox="1"/>
      </xdr:nvSpPr>
      <xdr:spPr>
        <a:xfrm>
          <a:off x="3511950" y="1764683"/>
          <a:ext cx="478118" cy="5780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47B804F9-C361-5542-9086-B4318635B7A3}" type="TxLink">
            <a:rPr lang="en-US" sz="600" b="0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2% 
of 45-69 years</a:t>
          </a:fld>
          <a:endParaRPr lang="en-US" sz="6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2</xdr:col>
      <xdr:colOff>581567</xdr:colOff>
      <xdr:row>18</xdr:row>
      <xdr:rowOff>43062</xdr:rowOff>
    </xdr:from>
    <xdr:ext cx="1574091" cy="824213"/>
    <xdr:sp macro="" textlink="data!A27">
      <xdr:nvSpPr>
        <xdr:cNvPr id="3114" name="TextBox 3113">
          <a:extLst>
            <a:ext uri="{FF2B5EF4-FFF2-40B4-BE49-F238E27FC236}">
              <a16:creationId xmlns:a16="http://schemas.microsoft.com/office/drawing/2014/main" id="{00000000-0008-0000-0200-00002A0C0000}"/>
            </a:ext>
          </a:extLst>
        </xdr:cNvPr>
        <xdr:cNvSpPr txBox="1"/>
      </xdr:nvSpPr>
      <xdr:spPr>
        <a:xfrm>
          <a:off x="1047791" y="3662562"/>
          <a:ext cx="1574091" cy="8242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marL="0" indent="0" algn="ctr"/>
          <a:fld id="{3BBD8E78-A54C-EA4A-B70C-53487E38F50B}" type="TxLink">
            <a:rPr lang="en-US" sz="10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of the population consumed 6 or more drinks on one occasion in the past 30 days</a:t>
          </a:fld>
          <a:endParaRPr lang="en-US" sz="10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6</xdr:col>
      <xdr:colOff>176819</xdr:colOff>
      <xdr:row>15</xdr:row>
      <xdr:rowOff>160421</xdr:rowOff>
    </xdr:from>
    <xdr:ext cx="508005" cy="231802"/>
    <xdr:sp macro="" textlink="data!B28">
      <xdr:nvSpPr>
        <xdr:cNvPr id="3115" name="TextBox 3114">
          <a:extLst>
            <a:ext uri="{FF2B5EF4-FFF2-40B4-BE49-F238E27FC236}">
              <a16:creationId xmlns:a16="http://schemas.microsoft.com/office/drawing/2014/main" id="{00000000-0008-0000-0200-00002B0C0000}"/>
            </a:ext>
          </a:extLst>
        </xdr:cNvPr>
        <xdr:cNvSpPr txBox="1"/>
      </xdr:nvSpPr>
      <xdr:spPr>
        <a:xfrm>
          <a:off x="3009253" y="3143250"/>
          <a:ext cx="508005" cy="23180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b">
          <a:noAutofit/>
        </a:bodyPr>
        <a:lstStyle/>
        <a:p>
          <a:pPr marL="0" indent="0" algn="ctr"/>
          <a:fld id="{D3863934-8C0F-8248-B431-E69F67BDA6D1}" type="TxLink">
            <a:rPr lang="en-US" sz="10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0%</a:t>
          </a:fld>
          <a:endParaRPr lang="en-US" sz="10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6</xdr:col>
      <xdr:colOff>117996</xdr:colOff>
      <xdr:row>19</xdr:row>
      <xdr:rowOff>155408</xdr:rowOff>
    </xdr:from>
    <xdr:ext cx="508005" cy="255907"/>
    <xdr:sp macro="" textlink="data!B29">
      <xdr:nvSpPr>
        <xdr:cNvPr id="3116" name="TextBox 3115">
          <a:extLst>
            <a:ext uri="{FF2B5EF4-FFF2-40B4-BE49-F238E27FC236}">
              <a16:creationId xmlns:a16="http://schemas.microsoft.com/office/drawing/2014/main" id="{00000000-0008-0000-0200-00002C0C0000}"/>
            </a:ext>
          </a:extLst>
        </xdr:cNvPr>
        <xdr:cNvSpPr txBox="1"/>
      </xdr:nvSpPr>
      <xdr:spPr>
        <a:xfrm>
          <a:off x="2950430" y="3900237"/>
          <a:ext cx="508005" cy="25590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b">
          <a:noAutofit/>
        </a:bodyPr>
        <a:lstStyle/>
        <a:p>
          <a:pPr marL="0" indent="0" algn="ctr"/>
          <a:fld id="{4F23BAF6-B9E5-2446-9782-589200C061D9}" type="TxLink">
            <a:rPr lang="en-US" sz="10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0%</a:t>
          </a:fld>
          <a:endParaRPr lang="en-US" sz="10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6</xdr:col>
      <xdr:colOff>128272</xdr:colOff>
      <xdr:row>17</xdr:row>
      <xdr:rowOff>5014</xdr:rowOff>
    </xdr:from>
    <xdr:ext cx="605118" cy="501316"/>
    <xdr:sp macro="" textlink="data!A28">
      <xdr:nvSpPr>
        <xdr:cNvPr id="3117" name="TextBox 3116">
          <a:extLst>
            <a:ext uri="{FF2B5EF4-FFF2-40B4-BE49-F238E27FC236}">
              <a16:creationId xmlns:a16="http://schemas.microsoft.com/office/drawing/2014/main" id="{00000000-0008-0000-0200-00002D0C0000}"/>
            </a:ext>
          </a:extLst>
        </xdr:cNvPr>
        <xdr:cNvSpPr txBox="1"/>
      </xdr:nvSpPr>
      <xdr:spPr>
        <a:xfrm>
          <a:off x="2960706" y="3368843"/>
          <a:ext cx="605118" cy="50131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marL="0" indent="0" algn="ctr"/>
          <a:fld id="{C206B28C-369D-6249-90C9-34D6512F3C62}" type="TxLink">
            <a:rPr lang="en-US" sz="6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of men consumed 6 or more drinks on one occasion</a:t>
          </a:fld>
          <a:endParaRPr lang="en-US" sz="6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6</xdr:col>
      <xdr:colOff>76574</xdr:colOff>
      <xdr:row>21</xdr:row>
      <xdr:rowOff>30079</xdr:rowOff>
    </xdr:from>
    <xdr:ext cx="605117" cy="506329"/>
    <xdr:sp macro="" textlink="data!A29">
      <xdr:nvSpPr>
        <xdr:cNvPr id="3118" name="TextBox 3117">
          <a:extLst>
            <a:ext uri="{FF2B5EF4-FFF2-40B4-BE49-F238E27FC236}">
              <a16:creationId xmlns:a16="http://schemas.microsoft.com/office/drawing/2014/main" id="{00000000-0008-0000-0200-00002E0C0000}"/>
            </a:ext>
          </a:extLst>
        </xdr:cNvPr>
        <xdr:cNvSpPr txBox="1"/>
      </xdr:nvSpPr>
      <xdr:spPr>
        <a:xfrm>
          <a:off x="2909008" y="4155908"/>
          <a:ext cx="605117" cy="5063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marL="0" indent="0" algn="ctr"/>
          <a:fld id="{36E9F306-6DBF-3A4A-B712-88AA3A748712}" type="TxLink">
            <a:rPr lang="en-US" sz="6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of women consumed 6 or more drinks on one occasion</a:t>
          </a:fld>
          <a:endParaRPr lang="en-US" sz="6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twoCellAnchor editAs="oneCell">
    <xdr:from>
      <xdr:col>1</xdr:col>
      <xdr:colOff>84630</xdr:colOff>
      <xdr:row>3</xdr:row>
      <xdr:rowOff>58127</xdr:rowOff>
    </xdr:from>
    <xdr:to>
      <xdr:col>5</xdr:col>
      <xdr:colOff>301189</xdr:colOff>
      <xdr:row>6</xdr:row>
      <xdr:rowOff>69796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10187" y="820127"/>
          <a:ext cx="2325047" cy="583169"/>
        </a:xfrm>
        <a:prstGeom prst="rect">
          <a:avLst/>
        </a:prstGeom>
      </xdr:spPr>
    </xdr:pic>
    <xdr:clientData/>
  </xdr:twoCellAnchor>
  <xdr:twoCellAnchor editAs="oneCell">
    <xdr:from>
      <xdr:col>1</xdr:col>
      <xdr:colOff>93454</xdr:colOff>
      <xdr:row>9</xdr:row>
      <xdr:rowOff>63173</xdr:rowOff>
    </xdr:from>
    <xdr:to>
      <xdr:col>5</xdr:col>
      <xdr:colOff>305519</xdr:colOff>
      <xdr:row>12</xdr:row>
      <xdr:rowOff>67814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19011" y="1968173"/>
          <a:ext cx="2320553" cy="576141"/>
        </a:xfrm>
        <a:prstGeom prst="rect">
          <a:avLst/>
        </a:prstGeom>
      </xdr:spPr>
    </xdr:pic>
    <xdr:clientData/>
  </xdr:twoCellAnchor>
  <xdr:twoCellAnchor>
    <xdr:from>
      <xdr:col>2</xdr:col>
      <xdr:colOff>75727</xdr:colOff>
      <xdr:row>12</xdr:row>
      <xdr:rowOff>128824</xdr:rowOff>
    </xdr:from>
    <xdr:to>
      <xdr:col>5</xdr:col>
      <xdr:colOff>406407</xdr:colOff>
      <xdr:row>15</xdr:row>
      <xdr:rowOff>64127</xdr:rowOff>
    </xdr:to>
    <xdr:sp macro="" textlink="data!A25">
      <xdr:nvSpPr>
        <xdr:cNvPr id="3" name="TextBox 2">
          <a:extLst>
            <a:ext uri="{FF2B5EF4-FFF2-40B4-BE49-F238E27FC236}">
              <a16:creationId xmlns:a16="http://schemas.microsoft.com/office/drawing/2014/main" id="{5829F6CA-AE1D-4665-3869-EBC8FD99FCAB}"/>
            </a:ext>
          </a:extLst>
        </xdr:cNvPr>
        <xdr:cNvSpPr txBox="1"/>
      </xdr:nvSpPr>
      <xdr:spPr>
        <a:xfrm>
          <a:off x="543318" y="2605324"/>
          <a:ext cx="2097134" cy="50680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/>
        <a:lstStyle/>
        <a:p>
          <a:fld id="{A3C8AE39-5196-4839-A93D-6048F4B1C3FB}" type="TxLink">
            <a:rPr lang="en-US" sz="1000" b="1" i="0" u="none" strike="noStrike" kern="1200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/>
            <a:t>of the population are lifetime abstainers</a:t>
          </a:fld>
          <a:endParaRPr lang="en-GB" sz="1000" b="1" kern="1200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twoCellAnchor>
  <xdr:twoCellAnchor>
    <xdr:from>
      <xdr:col>2</xdr:col>
      <xdr:colOff>12989</xdr:colOff>
      <xdr:row>6</xdr:row>
      <xdr:rowOff>103910</xdr:rowOff>
    </xdr:from>
    <xdr:to>
      <xdr:col>5</xdr:col>
      <xdr:colOff>343669</xdr:colOff>
      <xdr:row>9</xdr:row>
      <xdr:rowOff>39213</xdr:rowOff>
    </xdr:to>
    <xdr:sp macro="" textlink="data!A19">
      <xdr:nvSpPr>
        <xdr:cNvPr id="5" name="TextBox 4">
          <a:extLst>
            <a:ext uri="{FF2B5EF4-FFF2-40B4-BE49-F238E27FC236}">
              <a16:creationId xmlns:a16="http://schemas.microsoft.com/office/drawing/2014/main" id="{103E2B03-7E10-407A-BBEF-CAD520557D64}"/>
            </a:ext>
          </a:extLst>
        </xdr:cNvPr>
        <xdr:cNvSpPr txBox="1"/>
      </xdr:nvSpPr>
      <xdr:spPr>
        <a:xfrm>
          <a:off x="480580" y="1437410"/>
          <a:ext cx="2097134" cy="50680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t"/>
        <a:lstStyle/>
        <a:p>
          <a:fld id="{01A77BE0-BE98-4CDD-8724-91D9BCBB16D2}" type="TxLink">
            <a:rPr lang="en-US" sz="1100" b="1" i="0" u="none" strike="noStrike" kern="1200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/>
            <a:t>of the population are current drinkers</a:t>
          </a:fld>
          <a:endParaRPr lang="en-GB" sz="1000" b="1" kern="1200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twoCellAnchor>
  <xdr:twoCellAnchor>
    <xdr:from>
      <xdr:col>0</xdr:col>
      <xdr:colOff>4330</xdr:colOff>
      <xdr:row>6</xdr:row>
      <xdr:rowOff>129888</xdr:rowOff>
    </xdr:from>
    <xdr:to>
      <xdr:col>1</xdr:col>
      <xdr:colOff>290080</xdr:colOff>
      <xdr:row>8</xdr:row>
      <xdr:rowOff>69274</xdr:rowOff>
    </xdr:to>
    <xdr:sp macro="" textlink="data!B19">
      <xdr:nvSpPr>
        <xdr:cNvPr id="7" name="TextBox 6">
          <a:extLst>
            <a:ext uri="{FF2B5EF4-FFF2-40B4-BE49-F238E27FC236}">
              <a16:creationId xmlns:a16="http://schemas.microsoft.com/office/drawing/2014/main" id="{9B797D5E-D3E1-4D38-BA81-B46502B719CF}"/>
            </a:ext>
          </a:extLst>
        </xdr:cNvPr>
        <xdr:cNvSpPr txBox="1"/>
      </xdr:nvSpPr>
      <xdr:spPr>
        <a:xfrm>
          <a:off x="4330" y="1463388"/>
          <a:ext cx="411307" cy="32038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r"/>
          <a:fld id="{E3ED2A9C-4952-4444-BFA0-1E98B788ABFA}" type="TxLink">
            <a:rPr lang="en-US" sz="1100" b="1" i="0" u="none" strike="noStrike" kern="1200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algn="r"/>
            <a:t>1%</a:t>
          </a:fld>
          <a:endParaRPr lang="en-GB" sz="1000" b="1" kern="1200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twoCellAnchor>
  <xdr:twoCellAnchor>
    <xdr:from>
      <xdr:col>0</xdr:col>
      <xdr:colOff>82261</xdr:colOff>
      <xdr:row>12</xdr:row>
      <xdr:rowOff>138546</xdr:rowOff>
    </xdr:from>
    <xdr:to>
      <xdr:col>2</xdr:col>
      <xdr:colOff>17318</xdr:colOff>
      <xdr:row>14</xdr:row>
      <xdr:rowOff>38966</xdr:rowOff>
    </xdr:to>
    <xdr:sp macro="" textlink="data!B25">
      <xdr:nvSpPr>
        <xdr:cNvPr id="9" name="TextBox 8">
          <a:extLst>
            <a:ext uri="{FF2B5EF4-FFF2-40B4-BE49-F238E27FC236}">
              <a16:creationId xmlns:a16="http://schemas.microsoft.com/office/drawing/2014/main" id="{FDDA7326-CF5E-43E9-9B27-429FB9D1AD08}"/>
            </a:ext>
          </a:extLst>
        </xdr:cNvPr>
        <xdr:cNvSpPr txBox="1"/>
      </xdr:nvSpPr>
      <xdr:spPr>
        <a:xfrm>
          <a:off x="82261" y="2615046"/>
          <a:ext cx="402648" cy="2814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r"/>
          <a:fld id="{2E1DE438-C515-4C88-8DCE-25F4B9F9A839}" type="TxLink">
            <a:rPr lang="en-US" sz="1100" b="1" i="0" u="none" strike="noStrike" kern="1200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algn="r"/>
            <a:t>96%</a:t>
          </a:fld>
          <a:endParaRPr lang="en-GB" sz="1000" b="1" kern="1200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twoCellAnchor>
  <xdr:oneCellAnchor>
    <xdr:from>
      <xdr:col>6</xdr:col>
      <xdr:colOff>3479</xdr:colOff>
      <xdr:row>10</xdr:row>
      <xdr:rowOff>181329</xdr:rowOff>
    </xdr:from>
    <xdr:ext cx="1178238" cy="418918"/>
    <xdr:sp macro="" textlink="data!A24">
      <xdr:nvSpPr>
        <xdr:cNvPr id="10" name="TextBox 9">
          <a:extLst>
            <a:ext uri="{FF2B5EF4-FFF2-40B4-BE49-F238E27FC236}">
              <a16:creationId xmlns:a16="http://schemas.microsoft.com/office/drawing/2014/main" id="{328D587A-3094-402D-959C-0CCE1EEAE789}"/>
            </a:ext>
          </a:extLst>
        </xdr:cNvPr>
        <xdr:cNvSpPr txBox="1"/>
      </xdr:nvSpPr>
      <xdr:spPr>
        <a:xfrm>
          <a:off x="2826343" y="2276829"/>
          <a:ext cx="1178238" cy="4189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874A2EBC-C67A-4BD3-ACDF-0A77B98E5146}" type="TxLink">
            <a:rPr lang="en-US" sz="1100" b="1" i="0" u="none" strike="noStrike">
              <a:solidFill>
                <a:schemeClr val="bg1"/>
              </a:solidFill>
              <a:latin typeface="Aptos Narrow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are current drinkers</a:t>
          </a:fld>
          <a:endParaRPr lang="en-US" sz="7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1</xdr:col>
      <xdr:colOff>210554</xdr:colOff>
      <xdr:row>15</xdr:row>
      <xdr:rowOff>1737</xdr:rowOff>
    </xdr:from>
    <xdr:ext cx="3549314" cy="296459"/>
    <xdr:sp macro="" textlink="data!A26">
      <xdr:nvSpPr>
        <xdr:cNvPr id="13" name="TextBox 12">
          <a:extLst>
            <a:ext uri="{FF2B5EF4-FFF2-40B4-BE49-F238E27FC236}">
              <a16:creationId xmlns:a16="http://schemas.microsoft.com/office/drawing/2014/main" id="{10C1F045-80D0-4B31-8F11-3CD562E76FDC}"/>
            </a:ext>
          </a:extLst>
        </xdr:cNvPr>
        <xdr:cNvSpPr txBox="1"/>
      </xdr:nvSpPr>
      <xdr:spPr>
        <a:xfrm>
          <a:off x="335364" y="2984047"/>
          <a:ext cx="3549314" cy="29645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514FEEF8-AD9E-4D7D-A4B0-1D9CDB030A40}" type="TxLink">
            <a:rPr lang="en-US" sz="11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Heavy episodic drinking</a:t>
          </a:fld>
          <a:endParaRPr lang="en-US" sz="11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twoCellAnchor editAs="oneCell">
    <xdr:from>
      <xdr:col>5</xdr:col>
      <xdr:colOff>520212</xdr:colOff>
      <xdr:row>0</xdr:row>
      <xdr:rowOff>58615</xdr:rowOff>
    </xdr:from>
    <xdr:to>
      <xdr:col>7</xdr:col>
      <xdr:colOff>388327</xdr:colOff>
      <xdr:row>3</xdr:row>
      <xdr:rowOff>146538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8A3E63E-345E-30CD-5D1A-A2C056AF85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9577" y="58615"/>
          <a:ext cx="1055077" cy="783981"/>
        </a:xfrm>
        <a:prstGeom prst="rect">
          <a:avLst/>
        </a:prstGeom>
      </xdr:spPr>
    </xdr:pic>
    <xdr:clientData/>
  </xdr:twoCellAnchor>
  <xdr:twoCellAnchor editAs="oneCell">
    <xdr:from>
      <xdr:col>1</xdr:col>
      <xdr:colOff>10027</xdr:colOff>
      <xdr:row>16</xdr:row>
      <xdr:rowOff>115303</xdr:rowOff>
    </xdr:from>
    <xdr:to>
      <xdr:col>2</xdr:col>
      <xdr:colOff>582358</xdr:colOff>
      <xdr:row>21</xdr:row>
      <xdr:rowOff>186466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F645F2BF-CDD1-C7B6-EC1A-D587BDD2D8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356" y="3288632"/>
          <a:ext cx="913226" cy="1023663"/>
        </a:xfrm>
        <a:prstGeom prst="rect">
          <a:avLst/>
        </a:prstGeom>
      </xdr:spPr>
    </xdr:pic>
    <xdr:clientData/>
  </xdr:twoCellAnchor>
</xdr:wsDr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366058</xdr:colOff>
      <xdr:row>1</xdr:row>
      <xdr:rowOff>327288</xdr:rowOff>
    </xdr:from>
    <xdr:to>
      <xdr:col>8</xdr:col>
      <xdr:colOff>156884</xdr:colOff>
      <xdr:row>12</xdr:row>
      <xdr:rowOff>196620</xdr:rowOff>
    </xdr:to>
    <xdr:sp macro="" textlink="">
      <xdr:nvSpPr>
        <xdr:cNvPr id="77" name="Rectangle: Rounded Corners 41">
          <a:extLst>
            <a:ext uri="{FF2B5EF4-FFF2-40B4-BE49-F238E27FC236}">
              <a16:creationId xmlns:a16="http://schemas.microsoft.com/office/drawing/2014/main" id="{00000000-0008-0000-0300-00004D000000}"/>
            </a:ext>
          </a:extLst>
        </xdr:cNvPr>
        <xdr:cNvSpPr/>
      </xdr:nvSpPr>
      <xdr:spPr>
        <a:xfrm flipH="1" flipV="1">
          <a:off x="2711179" y="576909"/>
          <a:ext cx="1485619" cy="2759677"/>
        </a:xfrm>
        <a:prstGeom prst="roundRect">
          <a:avLst/>
        </a:prstGeom>
        <a:solidFill>
          <a:srgbClr val="735A9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twoCellAnchor>
  <xdr:twoCellAnchor>
    <xdr:from>
      <xdr:col>6</xdr:col>
      <xdr:colOff>43295</xdr:colOff>
      <xdr:row>1</xdr:row>
      <xdr:rowOff>280175</xdr:rowOff>
    </xdr:from>
    <xdr:to>
      <xdr:col>7</xdr:col>
      <xdr:colOff>356127</xdr:colOff>
      <xdr:row>5</xdr:row>
      <xdr:rowOff>167626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166CB54-D012-4850-BCB8-8D086F6244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127476</xdr:colOff>
      <xdr:row>1</xdr:row>
      <xdr:rowOff>376667</xdr:rowOff>
    </xdr:from>
    <xdr:to>
      <xdr:col>5</xdr:col>
      <xdr:colOff>86590</xdr:colOff>
      <xdr:row>3</xdr:row>
      <xdr:rowOff>246704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5</xdr:col>
      <xdr:colOff>590174</xdr:colOff>
      <xdr:row>26</xdr:row>
      <xdr:rowOff>14938</xdr:rowOff>
    </xdr:from>
    <xdr:ext cx="530414" cy="306295"/>
    <xdr:sp macro="" textlink="data!#REF!">
      <xdr:nvSpPr>
        <xdr:cNvPr id="53" name="TextBox 52">
          <a:extLst>
            <a:ext uri="{FF2B5EF4-FFF2-40B4-BE49-F238E27FC236}">
              <a16:creationId xmlns:a16="http://schemas.microsoft.com/office/drawing/2014/main" id="{00000000-0008-0000-0300-000035000000}"/>
            </a:ext>
          </a:extLst>
        </xdr:cNvPr>
        <xdr:cNvSpPr txBox="1"/>
      </xdr:nvSpPr>
      <xdr:spPr>
        <a:xfrm>
          <a:off x="3269874" y="3520138"/>
          <a:ext cx="530414" cy="3062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89AE20FB-FB1B-4392-83C1-6D406EAADFAD}" type="TxLink">
            <a:rPr lang="en-US" sz="700" b="1" i="0" u="none" strike="noStrike">
              <a:solidFill>
                <a:srgbClr val="D9D9D9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l"/>
            <a:t> </a:t>
          </a:fld>
          <a:endParaRPr lang="en-US" sz="700" b="1" i="0" u="none" strike="noStrike">
            <a:solidFill>
              <a:srgbClr val="D9D9D9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1</xdr:col>
      <xdr:colOff>21775</xdr:colOff>
      <xdr:row>4</xdr:row>
      <xdr:rowOff>204475</xdr:rowOff>
    </xdr:from>
    <xdr:ext cx="1803166" cy="362695"/>
    <xdr:sp macro="" textlink="data!A33">
      <xdr:nvSpPr>
        <xdr:cNvPr id="57" name="TextBox 56">
          <a:extLst>
            <a:ext uri="{FF2B5EF4-FFF2-40B4-BE49-F238E27FC236}">
              <a16:creationId xmlns:a16="http://schemas.microsoft.com/office/drawing/2014/main" id="{00000000-0008-0000-0300-000039000000}"/>
            </a:ext>
          </a:extLst>
        </xdr:cNvPr>
        <xdr:cNvSpPr txBox="1"/>
      </xdr:nvSpPr>
      <xdr:spPr>
        <a:xfrm>
          <a:off x="251241" y="1325827"/>
          <a:ext cx="1803166" cy="3626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marL="0" indent="0" algn="l"/>
          <a:fld id="{81D023A7-32A2-CD4F-ACFF-65EB1806F8C7}" type="TxLink">
            <a:rPr lang="en-US" sz="900" b="0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l"/>
            <a:t>mean number of days fruits are consumed in a typical week</a:t>
          </a:fld>
          <a:endParaRPr lang="en-US" sz="9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twoCellAnchor editAs="oneCell">
    <xdr:from>
      <xdr:col>0</xdr:col>
      <xdr:colOff>179501</xdr:colOff>
      <xdr:row>2</xdr:row>
      <xdr:rowOff>15224</xdr:rowOff>
    </xdr:from>
    <xdr:to>
      <xdr:col>4</xdr:col>
      <xdr:colOff>572973</xdr:colOff>
      <xdr:row>3</xdr:row>
      <xdr:rowOff>240364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0000000-0008-0000-03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501" y="521034"/>
          <a:ext cx="2147386" cy="474761"/>
        </a:xfrm>
        <a:prstGeom prst="rect">
          <a:avLst/>
        </a:prstGeom>
      </xdr:spPr>
    </xdr:pic>
    <xdr:clientData/>
  </xdr:twoCellAnchor>
  <xdr:twoCellAnchor>
    <xdr:from>
      <xdr:col>0</xdr:col>
      <xdr:colOff>127475</xdr:colOff>
      <xdr:row>7</xdr:row>
      <xdr:rowOff>50130</xdr:rowOff>
    </xdr:from>
    <xdr:to>
      <xdr:col>5</xdr:col>
      <xdr:colOff>474579</xdr:colOff>
      <xdr:row>10</xdr:row>
      <xdr:rowOff>108625</xdr:rowOff>
    </xdr:to>
    <xdr:graphicFrame macro="">
      <xdr:nvGraphicFramePr>
        <xdr:cNvPr id="70" name="Chart 69">
          <a:extLst>
            <a:ext uri="{FF2B5EF4-FFF2-40B4-BE49-F238E27FC236}">
              <a16:creationId xmlns:a16="http://schemas.microsoft.com/office/drawing/2014/main" id="{00000000-0008-0000-0300-00004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1</xdr:col>
      <xdr:colOff>23826</xdr:colOff>
      <xdr:row>10</xdr:row>
      <xdr:rowOff>198096</xdr:rowOff>
    </xdr:from>
    <xdr:ext cx="1803166" cy="473861"/>
    <xdr:sp macro="" textlink="data!A34">
      <xdr:nvSpPr>
        <xdr:cNvPr id="72" name="TextBox 71">
          <a:extLst>
            <a:ext uri="{FF2B5EF4-FFF2-40B4-BE49-F238E27FC236}">
              <a16:creationId xmlns:a16="http://schemas.microsoft.com/office/drawing/2014/main" id="{00000000-0008-0000-0300-000048000000}"/>
            </a:ext>
          </a:extLst>
        </xdr:cNvPr>
        <xdr:cNvSpPr txBox="1"/>
      </xdr:nvSpPr>
      <xdr:spPr>
        <a:xfrm>
          <a:off x="254431" y="2809951"/>
          <a:ext cx="1803166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marL="0" indent="0" algn="l"/>
          <a:fld id="{F847CCD0-85BB-4BD9-B32D-9E8346664AAE}" type="TxLink">
            <a:rPr lang="en-US" sz="900" b="0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l"/>
            <a:t>mean number of days vegetables consumed in a typical week</a:t>
          </a:fld>
          <a:endParaRPr lang="en-US" sz="900" b="0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twoCellAnchor editAs="oneCell">
    <xdr:from>
      <xdr:col>0</xdr:col>
      <xdr:colOff>183797</xdr:colOff>
      <xdr:row>7</xdr:row>
      <xdr:rowOff>134605</xdr:rowOff>
    </xdr:from>
    <xdr:to>
      <xdr:col>5</xdr:col>
      <xdr:colOff>209295</xdr:colOff>
      <xdr:row>10</xdr:row>
      <xdr:rowOff>50582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00000000-0008-0000-03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797" y="2017624"/>
          <a:ext cx="2377440" cy="670650"/>
        </a:xfrm>
        <a:prstGeom prst="rect">
          <a:avLst/>
        </a:prstGeom>
      </xdr:spPr>
    </xdr:pic>
    <xdr:clientData/>
  </xdr:twoCellAnchor>
  <xdr:oneCellAnchor>
    <xdr:from>
      <xdr:col>5</xdr:col>
      <xdr:colOff>431131</xdr:colOff>
      <xdr:row>5</xdr:row>
      <xdr:rowOff>10302</xdr:rowOff>
    </xdr:from>
    <xdr:ext cx="1363579" cy="635075"/>
    <xdr:sp macro="" textlink="data!A35">
      <xdr:nvSpPr>
        <xdr:cNvPr id="80" name="TextBox 79">
          <a:extLst>
            <a:ext uri="{FF2B5EF4-FFF2-40B4-BE49-F238E27FC236}">
              <a16:creationId xmlns:a16="http://schemas.microsoft.com/office/drawing/2014/main" id="{00000000-0008-0000-0300-000050000000}"/>
            </a:ext>
          </a:extLst>
        </xdr:cNvPr>
        <xdr:cNvSpPr txBox="1"/>
      </xdr:nvSpPr>
      <xdr:spPr>
        <a:xfrm>
          <a:off x="2776252" y="1389785"/>
          <a:ext cx="1363579" cy="6350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AA251A05-167B-FE4F-952B-E1C7F8886465}" type="TxLink">
            <a:rPr lang="en-US" sz="800" b="0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of the population eat less than 5 servings of fruit and/or vegetables per day</a:t>
          </a:fld>
          <a:endParaRPr lang="en-US" sz="800" b="0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twoCellAnchor>
    <xdr:from>
      <xdr:col>6</xdr:col>
      <xdr:colOff>30306</xdr:colOff>
      <xdr:row>7</xdr:row>
      <xdr:rowOff>53579</xdr:rowOff>
    </xdr:from>
    <xdr:to>
      <xdr:col>7</xdr:col>
      <xdr:colOff>343138</xdr:colOff>
      <xdr:row>11</xdr:row>
      <xdr:rowOff>66587</xdr:rowOff>
    </xdr:to>
    <xdr:graphicFrame macro="">
      <xdr:nvGraphicFramePr>
        <xdr:cNvPr id="55" name="Chart 54">
          <a:extLst>
            <a:ext uri="{FF2B5EF4-FFF2-40B4-BE49-F238E27FC236}">
              <a16:creationId xmlns:a16="http://schemas.microsoft.com/office/drawing/2014/main" id="{00000000-0008-0000-0300-00003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oneCellAnchor>
    <xdr:from>
      <xdr:col>5</xdr:col>
      <xdr:colOff>416093</xdr:colOff>
      <xdr:row>10</xdr:row>
      <xdr:rowOff>126691</xdr:rowOff>
    </xdr:from>
    <xdr:ext cx="1378618" cy="537372"/>
    <xdr:sp macro="" textlink="data!A36">
      <xdr:nvSpPr>
        <xdr:cNvPr id="56" name="TextBox 55">
          <a:extLst>
            <a:ext uri="{FF2B5EF4-FFF2-40B4-BE49-F238E27FC236}">
              <a16:creationId xmlns:a16="http://schemas.microsoft.com/office/drawing/2014/main" id="{00000000-0008-0000-0300-000038000000}"/>
            </a:ext>
          </a:extLst>
        </xdr:cNvPr>
        <xdr:cNvSpPr txBox="1"/>
      </xdr:nvSpPr>
      <xdr:spPr>
        <a:xfrm>
          <a:off x="2761214" y="2767415"/>
          <a:ext cx="1378618" cy="5373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17AE6B6A-01C1-904D-B2B0-B1E95C0826EB}" type="TxLink">
            <a:rPr lang="en-US" sz="800" b="0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of the population do not eat any fruit or vegetables</a:t>
          </a:fld>
          <a:endParaRPr lang="en-US" sz="8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6</xdr:col>
      <xdr:colOff>77676</xdr:colOff>
      <xdr:row>8</xdr:row>
      <xdr:rowOff>88829</xdr:rowOff>
    </xdr:from>
    <xdr:ext cx="816746" cy="437884"/>
    <xdr:sp macro="" textlink="data!B36">
      <xdr:nvSpPr>
        <xdr:cNvPr id="81" name="TextBox 80">
          <a:extLst>
            <a:ext uri="{FF2B5EF4-FFF2-40B4-BE49-F238E27FC236}">
              <a16:creationId xmlns:a16="http://schemas.microsoft.com/office/drawing/2014/main" id="{00000000-0008-0000-0300-000051000000}"/>
            </a:ext>
          </a:extLst>
        </xdr:cNvPr>
        <xdr:cNvSpPr txBox="1"/>
      </xdr:nvSpPr>
      <xdr:spPr>
        <a:xfrm>
          <a:off x="3014004" y="2230312"/>
          <a:ext cx="816746" cy="43788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C2F0A30A-58E6-6B46-A431-1AAA7FBF71ED}" type="TxLink">
            <a:rPr lang="en-US" sz="18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8%</a:t>
          </a:fld>
          <a:endParaRPr lang="en-US" sz="18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2</xdr:col>
      <xdr:colOff>82562</xdr:colOff>
      <xdr:row>16</xdr:row>
      <xdr:rowOff>207633</xdr:rowOff>
    </xdr:from>
    <xdr:ext cx="1905000" cy="473861"/>
    <xdr:sp macro="" textlink="data!A37">
      <xdr:nvSpPr>
        <xdr:cNvPr id="95" name="TextBox 94">
          <a:extLst>
            <a:ext uri="{FF2B5EF4-FFF2-40B4-BE49-F238E27FC236}">
              <a16:creationId xmlns:a16="http://schemas.microsoft.com/office/drawing/2014/main" id="{00000000-0008-0000-0300-00005F000000}"/>
            </a:ext>
          </a:extLst>
        </xdr:cNvPr>
        <xdr:cNvSpPr txBox="1"/>
      </xdr:nvSpPr>
      <xdr:spPr>
        <a:xfrm>
          <a:off x="654062" y="4352650"/>
          <a:ext cx="1905000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1E35F49C-B296-F746-B84D-6ACD3B0A9C54}" type="TxLink">
            <a:rPr lang="en-US" sz="900" b="0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l"/>
            <a:t>of the population always or often eat processed foods high in salt</a:t>
          </a:fld>
          <a:endParaRPr lang="en-US" sz="900" b="0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twoCellAnchor>
    <xdr:from>
      <xdr:col>0</xdr:col>
      <xdr:colOff>129447</xdr:colOff>
      <xdr:row>14</xdr:row>
      <xdr:rowOff>216776</xdr:rowOff>
    </xdr:from>
    <xdr:to>
      <xdr:col>5</xdr:col>
      <xdr:colOff>521761</xdr:colOff>
      <xdr:row>16</xdr:row>
      <xdr:rowOff>239574</xdr:rowOff>
    </xdr:to>
    <xdr:graphicFrame macro="">
      <xdr:nvGraphicFramePr>
        <xdr:cNvPr id="101" name="Chart 100">
          <a:extLst>
            <a:ext uri="{FF2B5EF4-FFF2-40B4-BE49-F238E27FC236}">
              <a16:creationId xmlns:a16="http://schemas.microsoft.com/office/drawing/2014/main" id="{00000000-0008-0000-0300-00006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366059</xdr:colOff>
      <xdr:row>14</xdr:row>
      <xdr:rowOff>80596</xdr:rowOff>
    </xdr:from>
    <xdr:to>
      <xdr:col>8</xdr:col>
      <xdr:colOff>156885</xdr:colOff>
      <xdr:row>18</xdr:row>
      <xdr:rowOff>138076</xdr:rowOff>
    </xdr:to>
    <xdr:sp macro="" textlink="">
      <xdr:nvSpPr>
        <xdr:cNvPr id="104" name="Rectangle: Rounded Corners 41">
          <a:extLst>
            <a:ext uri="{FF2B5EF4-FFF2-40B4-BE49-F238E27FC236}">
              <a16:creationId xmlns:a16="http://schemas.microsoft.com/office/drawing/2014/main" id="{00000000-0008-0000-0300-000068000000}"/>
            </a:ext>
          </a:extLst>
        </xdr:cNvPr>
        <xdr:cNvSpPr/>
      </xdr:nvSpPr>
      <xdr:spPr>
        <a:xfrm flipH="1" flipV="1">
          <a:off x="2718001" y="3722077"/>
          <a:ext cx="1490672" cy="1061268"/>
        </a:xfrm>
        <a:prstGeom prst="roundRect">
          <a:avLst/>
        </a:prstGeom>
        <a:solidFill>
          <a:srgbClr val="735A9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twoCellAnchor>
  <xdr:twoCellAnchor>
    <xdr:from>
      <xdr:col>0</xdr:col>
      <xdr:colOff>150730</xdr:colOff>
      <xdr:row>1</xdr:row>
      <xdr:rowOff>351924</xdr:rowOff>
    </xdr:from>
    <xdr:to>
      <xdr:col>1</xdr:col>
      <xdr:colOff>15375</xdr:colOff>
      <xdr:row>2</xdr:row>
      <xdr:rowOff>80144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CD4EEDD1-14E5-2BD6-0FFF-40E89F1479B7}"/>
            </a:ext>
          </a:extLst>
        </xdr:cNvPr>
        <xdr:cNvSpPr/>
      </xdr:nvSpPr>
      <xdr:spPr>
        <a:xfrm>
          <a:off x="150730" y="597569"/>
          <a:ext cx="95250" cy="109220"/>
        </a:xfrm>
        <a:prstGeom prst="rect">
          <a:avLst/>
        </a:prstGeom>
        <a:solidFill>
          <a:srgbClr val="46295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GB"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twoCellAnchor>
  <xdr:twoCellAnchor>
    <xdr:from>
      <xdr:col>0</xdr:col>
      <xdr:colOff>158416</xdr:colOff>
      <xdr:row>7</xdr:row>
      <xdr:rowOff>93244</xdr:rowOff>
    </xdr:from>
    <xdr:to>
      <xdr:col>1</xdr:col>
      <xdr:colOff>25066</xdr:colOff>
      <xdr:row>7</xdr:row>
      <xdr:rowOff>254935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E92BC9B-FBE6-C10C-6DCD-E014E9F3C31A}"/>
            </a:ext>
          </a:extLst>
        </xdr:cNvPr>
        <xdr:cNvSpPr/>
      </xdr:nvSpPr>
      <xdr:spPr>
        <a:xfrm>
          <a:off x="158416" y="1958139"/>
          <a:ext cx="97255" cy="161691"/>
        </a:xfrm>
        <a:prstGeom prst="rect">
          <a:avLst/>
        </a:prstGeom>
        <a:solidFill>
          <a:srgbClr val="46295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GB"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twoCellAnchor>
  <xdr:oneCellAnchor>
    <xdr:from>
      <xdr:col>6</xdr:col>
      <xdr:colOff>260383</xdr:colOff>
      <xdr:row>3</xdr:row>
      <xdr:rowOff>5971</xdr:rowOff>
    </xdr:from>
    <xdr:ext cx="492958" cy="365742"/>
    <xdr:sp macro="" textlink="data!B35">
      <xdr:nvSpPr>
        <xdr:cNvPr id="9" name="TextBox 8">
          <a:extLst>
            <a:ext uri="{FF2B5EF4-FFF2-40B4-BE49-F238E27FC236}">
              <a16:creationId xmlns:a16="http://schemas.microsoft.com/office/drawing/2014/main" id="{31600075-B5FF-4317-A507-2E1D05923E84}"/>
            </a:ext>
          </a:extLst>
        </xdr:cNvPr>
        <xdr:cNvSpPr txBox="1"/>
      </xdr:nvSpPr>
      <xdr:spPr>
        <a:xfrm>
          <a:off x="3196711" y="886212"/>
          <a:ext cx="492958" cy="3657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A1ED77CC-580F-404B-ADF9-FA5F4F89E545}" type="TxLink">
            <a:rPr lang="en-US" sz="16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65%</a:t>
          </a:fld>
          <a:endParaRPr lang="en-US" sz="16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3</xdr:col>
      <xdr:colOff>220579</xdr:colOff>
      <xdr:row>12</xdr:row>
      <xdr:rowOff>85223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87A9CB69-3C9E-79FB-1C51-F655408C5EA4}"/>
            </a:ext>
          </a:extLst>
        </xdr:cNvPr>
        <xdr:cNvSpPr txBox="1"/>
      </xdr:nvSpPr>
      <xdr:spPr>
        <a:xfrm>
          <a:off x="1383632" y="318836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 kern="1200"/>
        </a:p>
      </xdr:txBody>
    </xdr:sp>
    <xdr:clientData/>
  </xdr:oneCellAnchor>
  <xdr:oneCellAnchor>
    <xdr:from>
      <xdr:col>0</xdr:col>
      <xdr:colOff>182410</xdr:colOff>
      <xdr:row>16</xdr:row>
      <xdr:rowOff>202378</xdr:rowOff>
    </xdr:from>
    <xdr:ext cx="408796" cy="467657"/>
    <xdr:sp macro="" textlink="data!B37">
      <xdr:nvSpPr>
        <xdr:cNvPr id="13" name="TextBox 12">
          <a:extLst>
            <a:ext uri="{FF2B5EF4-FFF2-40B4-BE49-F238E27FC236}">
              <a16:creationId xmlns:a16="http://schemas.microsoft.com/office/drawing/2014/main" id="{7306CE2D-B584-4C56-AFD3-7C047C95F3D1}"/>
            </a:ext>
          </a:extLst>
        </xdr:cNvPr>
        <xdr:cNvSpPr txBox="1"/>
      </xdr:nvSpPr>
      <xdr:spPr>
        <a:xfrm>
          <a:off x="182410" y="4347395"/>
          <a:ext cx="408796" cy="4676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r"/>
          <a:fld id="{14844330-418A-4F46-82D4-3957F13D606F}" type="TxLink">
            <a:rPr lang="en-US" sz="11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r"/>
            <a:t>15%</a:t>
          </a:fld>
          <a:endParaRPr lang="en-US" sz="9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5</xdr:col>
      <xdr:colOff>426981</xdr:colOff>
      <xdr:row>16</xdr:row>
      <xdr:rowOff>124811</xdr:rowOff>
    </xdr:from>
    <xdr:ext cx="1378618" cy="537372"/>
    <xdr:sp macro="" textlink="data!A38">
      <xdr:nvSpPr>
        <xdr:cNvPr id="14" name="TextBox 13">
          <a:extLst>
            <a:ext uri="{FF2B5EF4-FFF2-40B4-BE49-F238E27FC236}">
              <a16:creationId xmlns:a16="http://schemas.microsoft.com/office/drawing/2014/main" id="{A39BFCC7-5C1B-4957-B5D1-5A9B4D2BD8C7}"/>
            </a:ext>
          </a:extLst>
        </xdr:cNvPr>
        <xdr:cNvSpPr txBox="1"/>
      </xdr:nvSpPr>
      <xdr:spPr>
        <a:xfrm>
          <a:off x="2772102" y="4269828"/>
          <a:ext cx="1378618" cy="5373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D2EE2FF8-9C01-4F8B-9693-8035F27CC5AF}" type="TxLink">
            <a:rPr lang="en-US" sz="800" b="0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mean number of grams of salt consumed per day</a:t>
          </a:fld>
          <a:endParaRPr lang="en-US" sz="8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twoCellAnchor editAs="oneCell">
    <xdr:from>
      <xdr:col>6</xdr:col>
      <xdr:colOff>556914</xdr:colOff>
      <xdr:row>14</xdr:row>
      <xdr:rowOff>236603</xdr:rowOff>
    </xdr:from>
    <xdr:to>
      <xdr:col>7</xdr:col>
      <xdr:colOff>439987</xdr:colOff>
      <xdr:row>16</xdr:row>
      <xdr:rowOff>187400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D2E90798-FBBD-880A-3BD3-9881048639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650020" flipH="1">
          <a:off x="3516100" y="3864321"/>
          <a:ext cx="449028" cy="476554"/>
        </a:xfrm>
        <a:prstGeom prst="rect">
          <a:avLst/>
        </a:prstGeom>
      </xdr:spPr>
    </xdr:pic>
    <xdr:clientData/>
  </xdr:twoCellAnchor>
  <xdr:oneCellAnchor>
    <xdr:from>
      <xdr:col>5</xdr:col>
      <xdr:colOff>559878</xdr:colOff>
      <xdr:row>14</xdr:row>
      <xdr:rowOff>243304</xdr:rowOff>
    </xdr:from>
    <xdr:ext cx="527038" cy="467657"/>
    <xdr:sp macro="" textlink="data!B38">
      <xdr:nvSpPr>
        <xdr:cNvPr id="17" name="TextBox 16">
          <a:extLst>
            <a:ext uri="{FF2B5EF4-FFF2-40B4-BE49-F238E27FC236}">
              <a16:creationId xmlns:a16="http://schemas.microsoft.com/office/drawing/2014/main" id="{A9F0E376-9460-41F5-A9C3-6F975D05DDA5}"/>
            </a:ext>
          </a:extLst>
        </xdr:cNvPr>
        <xdr:cNvSpPr txBox="1"/>
      </xdr:nvSpPr>
      <xdr:spPr>
        <a:xfrm>
          <a:off x="2911820" y="3884785"/>
          <a:ext cx="527038" cy="4676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1E4349A6-97FD-4D2F-A143-8495FEE9DCB7}" type="TxLink">
            <a:rPr lang="en-US" sz="20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8.6</a:t>
          </a:fld>
          <a:endParaRPr lang="en-US" sz="20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twoCellAnchor editAs="oneCell">
    <xdr:from>
      <xdr:col>0</xdr:col>
      <xdr:colOff>209449</xdr:colOff>
      <xdr:row>15</xdr:row>
      <xdr:rowOff>32844</xdr:rowOff>
    </xdr:from>
    <xdr:to>
      <xdr:col>5</xdr:col>
      <xdr:colOff>200526</xdr:colOff>
      <xdr:row>16</xdr:row>
      <xdr:rowOff>236341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3BC615CE-8A92-3355-6C30-3DA3C148F4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449" y="3882949"/>
          <a:ext cx="2337235" cy="449143"/>
        </a:xfrm>
        <a:prstGeom prst="rect">
          <a:avLst/>
        </a:prstGeom>
      </xdr:spPr>
    </xdr:pic>
    <xdr:clientData/>
  </xdr:twoCellAnchor>
</xdr:wsDr>
</file>

<file path=xl/drawings/drawing17.xml><?xml version="1.0" encoding="utf-8"?>
<c:userShapes xmlns:c="http://schemas.openxmlformats.org/drawingml/2006/chart"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228840</xdr:colOff>
      <xdr:row>6</xdr:row>
      <xdr:rowOff>173404</xdr:rowOff>
    </xdr:from>
    <xdr:to>
      <xdr:col>8</xdr:col>
      <xdr:colOff>580180</xdr:colOff>
      <xdr:row>19</xdr:row>
      <xdr:rowOff>107227</xdr:rowOff>
    </xdr:to>
    <xdr:sp macro="" textlink="">
      <xdr:nvSpPr>
        <xdr:cNvPr id="42" name="Rectangle: Rounded Corners 41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SpPr/>
      </xdr:nvSpPr>
      <xdr:spPr>
        <a:xfrm rot="5400000" flipH="1" flipV="1">
          <a:off x="2991031" y="1470328"/>
          <a:ext cx="2432304" cy="2505456"/>
        </a:xfrm>
        <a:prstGeom prst="roundRect">
          <a:avLst/>
        </a:prstGeom>
        <a:solidFill>
          <a:srgbClr val="336098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124558</xdr:colOff>
      <xdr:row>9</xdr:row>
      <xdr:rowOff>95251</xdr:rowOff>
    </xdr:from>
    <xdr:to>
      <xdr:col>6</xdr:col>
      <xdr:colOff>480157</xdr:colOff>
      <xdr:row>14</xdr:row>
      <xdr:rowOff>80598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4E0C28A5-7F27-4181-8C58-236E328FEA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112004</xdr:colOff>
      <xdr:row>6</xdr:row>
      <xdr:rowOff>173405</xdr:rowOff>
    </xdr:from>
    <xdr:to>
      <xdr:col>4</xdr:col>
      <xdr:colOff>608137</xdr:colOff>
      <xdr:row>19</xdr:row>
      <xdr:rowOff>109903</xdr:rowOff>
    </xdr:to>
    <xdr:sp macro="" textlink="">
      <xdr:nvSpPr>
        <xdr:cNvPr id="18" name="Rectangle: Rounded Corners 17">
          <a:extLst>
            <a:ext uri="{FF2B5EF4-FFF2-40B4-BE49-F238E27FC236}">
              <a16:creationId xmlns:a16="http://schemas.microsoft.com/office/drawing/2014/main" id="{004AC4FF-CCE8-5818-92B5-6266D35F5736}"/>
            </a:ext>
          </a:extLst>
        </xdr:cNvPr>
        <xdr:cNvSpPr/>
      </xdr:nvSpPr>
      <xdr:spPr>
        <a:xfrm rot="5400000" flipH="1" flipV="1">
          <a:off x="146369" y="1472540"/>
          <a:ext cx="2434979" cy="2503710"/>
        </a:xfrm>
        <a:prstGeom prst="roundRect">
          <a:avLst/>
        </a:prstGeom>
        <a:solidFill>
          <a:srgbClr val="336098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9</xdr:row>
      <xdr:rowOff>43966</xdr:rowOff>
    </xdr:from>
    <xdr:to>
      <xdr:col>2</xdr:col>
      <xdr:colOff>502138</xdr:colOff>
      <xdr:row>14</xdr:row>
      <xdr:rowOff>29313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D100EEAF-80BB-46A0-A8EA-149D338E23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80599</xdr:colOff>
      <xdr:row>20</xdr:row>
      <xdr:rowOff>14652</xdr:rowOff>
    </xdr:from>
    <xdr:to>
      <xdr:col>8</xdr:col>
      <xdr:colOff>661295</xdr:colOff>
      <xdr:row>29</xdr:row>
      <xdr:rowOff>73268</xdr:rowOff>
    </xdr:to>
    <xdr:sp macro="" textlink="">
      <xdr:nvSpPr>
        <xdr:cNvPr id="44" name="Rectangle: Rounded Corners 41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SpPr/>
      </xdr:nvSpPr>
      <xdr:spPr>
        <a:xfrm rot="5400000" flipH="1" flipV="1">
          <a:off x="1920591" y="2197141"/>
          <a:ext cx="1780443" cy="5460427"/>
        </a:xfrm>
        <a:prstGeom prst="roundRect">
          <a:avLst/>
        </a:prstGeom>
        <a:solidFill>
          <a:srgbClr val="336098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224972</xdr:colOff>
      <xdr:row>3</xdr:row>
      <xdr:rowOff>0</xdr:rowOff>
    </xdr:from>
    <xdr:to>
      <xdr:col>4</xdr:col>
      <xdr:colOff>446942</xdr:colOff>
      <xdr:row>6</xdr:row>
      <xdr:rowOff>34324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3417</xdr:colOff>
      <xdr:row>14</xdr:row>
      <xdr:rowOff>21986</xdr:rowOff>
    </xdr:from>
    <xdr:to>
      <xdr:col>2</xdr:col>
      <xdr:colOff>505555</xdr:colOff>
      <xdr:row>19</xdr:row>
      <xdr:rowOff>7333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195882</xdr:colOff>
      <xdr:row>20</xdr:row>
      <xdr:rowOff>58614</xdr:rowOff>
    </xdr:from>
    <xdr:to>
      <xdr:col>3</xdr:col>
      <xdr:colOff>556847</xdr:colOff>
      <xdr:row>25</xdr:row>
      <xdr:rowOff>14654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398773</xdr:colOff>
      <xdr:row>14</xdr:row>
      <xdr:rowOff>73270</xdr:rowOff>
    </xdr:from>
    <xdr:to>
      <xdr:col>6</xdr:col>
      <xdr:colOff>417613</xdr:colOff>
      <xdr:row>19</xdr:row>
      <xdr:rowOff>105020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600111</xdr:colOff>
      <xdr:row>20</xdr:row>
      <xdr:rowOff>0</xdr:rowOff>
    </xdr:from>
    <xdr:to>
      <xdr:col>5</xdr:col>
      <xdr:colOff>674080</xdr:colOff>
      <xdr:row>25</xdr:row>
      <xdr:rowOff>52684</xdr:rowOff>
    </xdr:to>
    <xdr:graphicFrame macro="">
      <xdr:nvGraphicFramePr>
        <xdr:cNvPr id="49" name="Chart 48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23650</xdr:colOff>
      <xdr:row>20</xdr:row>
      <xdr:rowOff>73269</xdr:rowOff>
    </xdr:from>
    <xdr:to>
      <xdr:col>8</xdr:col>
      <xdr:colOff>139208</xdr:colOff>
      <xdr:row>24</xdr:row>
      <xdr:rowOff>181358</xdr:rowOff>
    </xdr:to>
    <xdr:graphicFrame macro="">
      <xdr:nvGraphicFramePr>
        <xdr:cNvPr id="50" name="Chart 49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oneCellAnchor>
    <xdr:from>
      <xdr:col>5</xdr:col>
      <xdr:colOff>212129</xdr:colOff>
      <xdr:row>2</xdr:row>
      <xdr:rowOff>81293</xdr:rowOff>
    </xdr:from>
    <xdr:ext cx="2630717" cy="929821"/>
    <xdr:sp macro="" textlink="data!A41">
      <xdr:nvSpPr>
        <xdr:cNvPr id="52" name="TextBox 51">
          <a:extLst>
            <a:ext uri="{FF2B5EF4-FFF2-40B4-BE49-F238E27FC236}">
              <a16:creationId xmlns:a16="http://schemas.microsoft.com/office/drawing/2014/main" id="{00000000-0008-0000-0400-000034000000}"/>
            </a:ext>
          </a:extLst>
        </xdr:cNvPr>
        <xdr:cNvSpPr txBox="1"/>
      </xdr:nvSpPr>
      <xdr:spPr>
        <a:xfrm>
          <a:off x="2937744" y="652793"/>
          <a:ext cx="2630717" cy="9298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77F01CBE-7F23-434A-A372-B97581DB2AB8}" type="TxLink">
            <a:rPr lang="en-US" sz="1100" b="0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l"/>
            <a:t>of the population are not meeting WHO's recommendation for physical activity</a:t>
          </a:fld>
          <a:endParaRPr lang="en-US" sz="9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4</xdr:col>
      <xdr:colOff>396352</xdr:colOff>
      <xdr:row>3</xdr:row>
      <xdr:rowOff>83038</xdr:rowOff>
    </xdr:from>
    <xdr:ext cx="471714" cy="473861"/>
    <xdr:sp macro="" textlink="data!B41">
      <xdr:nvSpPr>
        <xdr:cNvPr id="53" name="TextBox 52">
          <a:extLst>
            <a:ext uri="{FF2B5EF4-FFF2-40B4-BE49-F238E27FC236}">
              <a16:creationId xmlns:a16="http://schemas.microsoft.com/office/drawing/2014/main" id="{00000000-0008-0000-0400-000035000000}"/>
            </a:ext>
          </a:extLst>
        </xdr:cNvPr>
        <xdr:cNvSpPr txBox="1"/>
      </xdr:nvSpPr>
      <xdr:spPr>
        <a:xfrm>
          <a:off x="2403929" y="845038"/>
          <a:ext cx="471714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472AD1AD-4504-3D4B-84C5-0D54A1330D25}" type="TxLink">
            <a:rPr lang="en-US" sz="2000" b="1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28%</a:t>
          </a:fld>
          <a:endParaRPr lang="en-US" sz="2000" b="1" i="0" u="none" strike="noStrike">
            <a:solidFill>
              <a:schemeClr val="bg1"/>
            </a:solidFill>
            <a:latin typeface="Calibri" panose="020F0502020204030204" pitchFamily="34" charset="0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2</xdr:col>
      <xdr:colOff>476250</xdr:colOff>
      <xdr:row>16</xdr:row>
      <xdr:rowOff>51292</xdr:rowOff>
    </xdr:from>
    <xdr:ext cx="1370135" cy="473861"/>
    <xdr:sp macro="" textlink="data!A46">
      <xdr:nvSpPr>
        <xdr:cNvPr id="54" name="TextBox 53">
          <a:extLst>
            <a:ext uri="{FF2B5EF4-FFF2-40B4-BE49-F238E27FC236}">
              <a16:creationId xmlns:a16="http://schemas.microsoft.com/office/drawing/2014/main" id="{00000000-0008-0000-0400-000036000000}"/>
            </a:ext>
          </a:extLst>
        </xdr:cNvPr>
        <xdr:cNvSpPr txBox="1"/>
      </xdr:nvSpPr>
      <xdr:spPr>
        <a:xfrm>
          <a:off x="1047750" y="3311773"/>
          <a:ext cx="1370135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B5E48A1A-B0DC-FE47-B0EE-D42E5CBC5D70}" type="TxLink">
            <a:rPr lang="en-US" sz="1000" b="0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l"/>
            <a:t>are not engaging in any vigorous physical activity</a:t>
          </a:fld>
          <a:endParaRPr lang="en-US" sz="1000" b="0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1</xdr:col>
      <xdr:colOff>195016</xdr:colOff>
      <xdr:row>16</xdr:row>
      <xdr:rowOff>87929</xdr:rowOff>
    </xdr:from>
    <xdr:ext cx="537661" cy="307085"/>
    <xdr:sp macro="" textlink="data!B46">
      <xdr:nvSpPr>
        <xdr:cNvPr id="55" name="TextBox 54">
          <a:extLst>
            <a:ext uri="{FF2B5EF4-FFF2-40B4-BE49-F238E27FC236}">
              <a16:creationId xmlns:a16="http://schemas.microsoft.com/office/drawing/2014/main" id="{00000000-0008-0000-0400-000037000000}"/>
            </a:ext>
          </a:extLst>
        </xdr:cNvPr>
        <xdr:cNvSpPr txBox="1"/>
      </xdr:nvSpPr>
      <xdr:spPr>
        <a:xfrm>
          <a:off x="422151" y="3348410"/>
          <a:ext cx="537661" cy="307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D49800DE-51F7-9244-B3A7-C04AE71E4E47}" type="TxLink">
            <a:rPr lang="en-US" sz="16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l"/>
            <a:t>65%</a:t>
          </a:fld>
          <a:endParaRPr lang="en-US" sz="16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2</xdr:col>
      <xdr:colOff>175145</xdr:colOff>
      <xdr:row>24</xdr:row>
      <xdr:rowOff>168520</xdr:rowOff>
    </xdr:from>
    <xdr:ext cx="1011816" cy="703384"/>
    <xdr:sp macro="" textlink="data!A48">
      <xdr:nvSpPr>
        <xdr:cNvPr id="56" name="TextBox 55">
          <a:extLst>
            <a:ext uri="{FF2B5EF4-FFF2-40B4-BE49-F238E27FC236}">
              <a16:creationId xmlns:a16="http://schemas.microsoft.com/office/drawing/2014/main" id="{00000000-0008-0000-0400-000038000000}"/>
            </a:ext>
          </a:extLst>
        </xdr:cNvPr>
        <xdr:cNvSpPr txBox="1"/>
      </xdr:nvSpPr>
      <xdr:spPr>
        <a:xfrm>
          <a:off x="746645" y="4960328"/>
          <a:ext cx="1011816" cy="70338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9BFA0220-18E3-4343-8C74-CCDE25E60739}" type="TxLink">
            <a:rPr lang="en-US" sz="900" b="0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of the population do not do any work-related activity</a:t>
          </a:fld>
          <a:endParaRPr lang="en-US" sz="900" b="0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2</xdr:col>
      <xdr:colOff>533820</xdr:colOff>
      <xdr:row>21</xdr:row>
      <xdr:rowOff>73270</xdr:rowOff>
    </xdr:from>
    <xdr:ext cx="471714" cy="473861"/>
    <xdr:sp macro="" textlink="data!B48">
      <xdr:nvSpPr>
        <xdr:cNvPr id="57" name="TextBox 56">
          <a:extLst>
            <a:ext uri="{FF2B5EF4-FFF2-40B4-BE49-F238E27FC236}">
              <a16:creationId xmlns:a16="http://schemas.microsoft.com/office/drawing/2014/main" id="{00000000-0008-0000-0400-000039000000}"/>
            </a:ext>
          </a:extLst>
        </xdr:cNvPr>
        <xdr:cNvSpPr txBox="1"/>
      </xdr:nvSpPr>
      <xdr:spPr>
        <a:xfrm>
          <a:off x="1105320" y="4286251"/>
          <a:ext cx="471714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A3C3AB15-F312-8947-95D5-AEA2B55AE2F8}" type="TxLink">
            <a:rPr lang="en-US" sz="15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l"/>
            <a:t>53%</a:t>
          </a:fld>
          <a:endParaRPr lang="en-US" sz="15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1</xdr:col>
      <xdr:colOff>168518</xdr:colOff>
      <xdr:row>11</xdr:row>
      <xdr:rowOff>36633</xdr:rowOff>
    </xdr:from>
    <xdr:ext cx="446943" cy="429207"/>
    <xdr:sp macro="" textlink="data!B44">
      <xdr:nvSpPr>
        <xdr:cNvPr id="58" name="TextBox 57">
          <a:extLst>
            <a:ext uri="{FF2B5EF4-FFF2-40B4-BE49-F238E27FC236}">
              <a16:creationId xmlns:a16="http://schemas.microsoft.com/office/drawing/2014/main" id="{00000000-0008-0000-0400-00003A000000}"/>
            </a:ext>
          </a:extLst>
        </xdr:cNvPr>
        <xdr:cNvSpPr txBox="1"/>
      </xdr:nvSpPr>
      <xdr:spPr>
        <a:xfrm>
          <a:off x="395653" y="2337287"/>
          <a:ext cx="446943" cy="42920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E50196B1-9EAF-8247-931F-5BE48385A21F}" type="TxLink">
            <a:rPr lang="en-US" sz="16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24%</a:t>
          </a:fld>
          <a:endParaRPr lang="en-US" sz="16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5</xdr:col>
      <xdr:colOff>516026</xdr:colOff>
      <xdr:row>11</xdr:row>
      <xdr:rowOff>71175</xdr:rowOff>
    </xdr:from>
    <xdr:ext cx="471714" cy="473861"/>
    <xdr:sp macro="" textlink="data!B45">
      <xdr:nvSpPr>
        <xdr:cNvPr id="59" name="TextBox 58">
          <a:extLst>
            <a:ext uri="{FF2B5EF4-FFF2-40B4-BE49-F238E27FC236}">
              <a16:creationId xmlns:a16="http://schemas.microsoft.com/office/drawing/2014/main" id="{00000000-0008-0000-0400-00003B000000}"/>
            </a:ext>
          </a:extLst>
        </xdr:cNvPr>
        <xdr:cNvSpPr txBox="1"/>
      </xdr:nvSpPr>
      <xdr:spPr>
        <a:xfrm>
          <a:off x="3241641" y="2371829"/>
          <a:ext cx="471714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BF8B530B-3D72-EF42-A0C4-2C0BB071E22A}" type="TxLink">
            <a:rPr lang="en-US" sz="16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36%</a:t>
          </a:fld>
          <a:endParaRPr lang="en-US" sz="16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2</xdr:col>
      <xdr:colOff>493695</xdr:colOff>
      <xdr:row>10</xdr:row>
      <xdr:rowOff>181783</xdr:rowOff>
    </xdr:from>
    <xdr:ext cx="1460500" cy="589642"/>
    <xdr:sp macro="" textlink="data!A44">
      <xdr:nvSpPr>
        <xdr:cNvPr id="60" name="TextBox 59">
          <a:extLst>
            <a:ext uri="{FF2B5EF4-FFF2-40B4-BE49-F238E27FC236}">
              <a16:creationId xmlns:a16="http://schemas.microsoft.com/office/drawing/2014/main" id="{00000000-0008-0000-0400-00003C000000}"/>
            </a:ext>
          </a:extLst>
        </xdr:cNvPr>
        <xdr:cNvSpPr txBox="1"/>
      </xdr:nvSpPr>
      <xdr:spPr>
        <a:xfrm>
          <a:off x="1065195" y="2284610"/>
          <a:ext cx="1460500" cy="5896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5F65174C-05A3-C14E-ABAA-D54DA7C80221}" type="TxLink">
            <a:rPr lang="en-US" sz="1000" b="0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l"/>
            <a:t>are not meeting WHO's recommendation for physical activity</a:t>
          </a:fld>
          <a:endParaRPr lang="en-US" sz="1000" b="0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6</xdr:col>
      <xdr:colOff>474502</xdr:colOff>
      <xdr:row>10</xdr:row>
      <xdr:rowOff>180381</xdr:rowOff>
    </xdr:from>
    <xdr:ext cx="1401189" cy="662214"/>
    <xdr:sp macro="" textlink="data!A45">
      <xdr:nvSpPr>
        <xdr:cNvPr id="61" name="TextBox 60">
          <a:extLst>
            <a:ext uri="{FF2B5EF4-FFF2-40B4-BE49-F238E27FC236}">
              <a16:creationId xmlns:a16="http://schemas.microsoft.com/office/drawing/2014/main" id="{00000000-0008-0000-0400-00003D000000}"/>
            </a:ext>
          </a:extLst>
        </xdr:cNvPr>
        <xdr:cNvSpPr txBox="1"/>
      </xdr:nvSpPr>
      <xdr:spPr>
        <a:xfrm>
          <a:off x="3918156" y="2283208"/>
          <a:ext cx="1401189" cy="6622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CC5B0853-4A01-C541-AF9A-421BEF349AE1}" type="TxLink">
            <a:rPr lang="en-US" sz="1000" b="0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l"/>
            <a:t>are not meeting WHO's recommendation for physical activity</a:t>
          </a:fld>
          <a:endParaRPr lang="en-US" sz="1000" b="0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6</xdr:col>
      <xdr:colOff>424963</xdr:colOff>
      <xdr:row>16</xdr:row>
      <xdr:rowOff>34194</xdr:rowOff>
    </xdr:from>
    <xdr:ext cx="1384788" cy="464038"/>
    <xdr:sp macro="" textlink="data!A47">
      <xdr:nvSpPr>
        <xdr:cNvPr id="62" name="TextBox 61">
          <a:extLst>
            <a:ext uri="{FF2B5EF4-FFF2-40B4-BE49-F238E27FC236}">
              <a16:creationId xmlns:a16="http://schemas.microsoft.com/office/drawing/2014/main" id="{00000000-0008-0000-0400-00003E000000}"/>
            </a:ext>
          </a:extLst>
        </xdr:cNvPr>
        <xdr:cNvSpPr txBox="1"/>
      </xdr:nvSpPr>
      <xdr:spPr>
        <a:xfrm>
          <a:off x="3868617" y="3294675"/>
          <a:ext cx="1384788" cy="46403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BF408761-4A0F-6640-8967-8571B11A40FA}" type="TxLink">
            <a:rPr lang="en-US" sz="1000" b="0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l"/>
            <a:t>are not engaging in any vigorous physical activity</a:t>
          </a:fld>
          <a:endParaRPr lang="en-US" sz="1000" b="0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4</xdr:col>
      <xdr:colOff>232017</xdr:colOff>
      <xdr:row>24</xdr:row>
      <xdr:rowOff>154213</xdr:rowOff>
    </xdr:from>
    <xdr:ext cx="1379905" cy="959478"/>
    <xdr:sp macro="" textlink="data!A49">
      <xdr:nvSpPr>
        <xdr:cNvPr id="63" name="TextBox 62">
          <a:extLst>
            <a:ext uri="{FF2B5EF4-FFF2-40B4-BE49-F238E27FC236}">
              <a16:creationId xmlns:a16="http://schemas.microsoft.com/office/drawing/2014/main" id="{00000000-0008-0000-0400-00003F000000}"/>
            </a:ext>
          </a:extLst>
        </xdr:cNvPr>
        <xdr:cNvSpPr txBox="1"/>
      </xdr:nvSpPr>
      <xdr:spPr>
        <a:xfrm>
          <a:off x="2239594" y="4946021"/>
          <a:ext cx="1379905" cy="95947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marL="0" indent="0" algn="ctr"/>
          <a:fld id="{27026C25-6DF1-4910-B619-B638A366249E}" type="TxLink">
            <a:rPr lang="en-US" sz="900" b="0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of the population do not do any transport-related activity e.g. walking or cycling</a:t>
          </a:fld>
          <a:endParaRPr lang="en-US" sz="900" b="0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7</xdr:col>
      <xdr:colOff>3488</xdr:colOff>
      <xdr:row>24</xdr:row>
      <xdr:rowOff>88621</xdr:rowOff>
    </xdr:from>
    <xdr:ext cx="809801" cy="907840"/>
    <xdr:sp macro="" textlink="data!A50">
      <xdr:nvSpPr>
        <xdr:cNvPr id="64" name="TextBox 63">
          <a:extLst>
            <a:ext uri="{FF2B5EF4-FFF2-40B4-BE49-F238E27FC236}">
              <a16:creationId xmlns:a16="http://schemas.microsoft.com/office/drawing/2014/main" id="{00000000-0008-0000-0400-000040000000}"/>
            </a:ext>
          </a:extLst>
        </xdr:cNvPr>
        <xdr:cNvSpPr txBox="1"/>
      </xdr:nvSpPr>
      <xdr:spPr>
        <a:xfrm>
          <a:off x="4165180" y="4880429"/>
          <a:ext cx="809801" cy="9078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407B3405-31FD-E044-B018-523EF5966741}" type="TxLink">
            <a:rPr lang="en-US" sz="900" b="0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of the population do not do any activity in their leisure time</a:t>
          </a:fld>
          <a:endParaRPr lang="en-US" sz="900" b="0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3</xdr:col>
      <xdr:colOff>674772</xdr:colOff>
      <xdr:row>33</xdr:row>
      <xdr:rowOff>92810</xdr:rowOff>
    </xdr:from>
    <xdr:ext cx="1603901" cy="595922"/>
    <xdr:sp macro="" textlink="data!C52">
      <xdr:nvSpPr>
        <xdr:cNvPr id="65" name="TextBox 64">
          <a:extLst>
            <a:ext uri="{FF2B5EF4-FFF2-40B4-BE49-F238E27FC236}">
              <a16:creationId xmlns:a16="http://schemas.microsoft.com/office/drawing/2014/main" id="{00000000-0008-0000-0400-000041000000}"/>
            </a:ext>
          </a:extLst>
        </xdr:cNvPr>
        <xdr:cNvSpPr txBox="1"/>
      </xdr:nvSpPr>
      <xdr:spPr>
        <a:xfrm>
          <a:off x="1964310" y="6599118"/>
          <a:ext cx="1603901" cy="59592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marL="0" indent="0" algn="ctr"/>
          <a:fld id="{C2F20A26-5AC8-4AB4-95A9-5565A3578ADD}" type="TxLink">
            <a:rPr lang="en-US" sz="15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3.2 hours</a:t>
          </a:fld>
          <a:endParaRPr lang="en-US" sz="15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3</xdr:col>
      <xdr:colOff>560683</xdr:colOff>
      <xdr:row>31</xdr:row>
      <xdr:rowOff>36634</xdr:rowOff>
    </xdr:from>
    <xdr:ext cx="1803166" cy="440018"/>
    <xdr:sp macro="" textlink="data!A51">
      <xdr:nvSpPr>
        <xdr:cNvPr id="66" name="TextBox 65">
          <a:extLst>
            <a:ext uri="{FF2B5EF4-FFF2-40B4-BE49-F238E27FC236}">
              <a16:creationId xmlns:a16="http://schemas.microsoft.com/office/drawing/2014/main" id="{00000000-0008-0000-0400-000042000000}"/>
            </a:ext>
          </a:extLst>
        </xdr:cNvPr>
        <xdr:cNvSpPr txBox="1"/>
      </xdr:nvSpPr>
      <xdr:spPr>
        <a:xfrm>
          <a:off x="1850221" y="6161942"/>
          <a:ext cx="1803166" cy="44001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07767C80-E14B-6346-9B38-267C59F6B886}" type="TxLink">
            <a:rPr lang="en-US" sz="1100" b="0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Average time spent in sedentary activity per day</a:t>
          </a:fld>
          <a:endParaRPr lang="en-US" sz="1100" b="0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5</xdr:col>
      <xdr:colOff>484518</xdr:colOff>
      <xdr:row>16</xdr:row>
      <xdr:rowOff>19191</xdr:rowOff>
    </xdr:from>
    <xdr:ext cx="555905" cy="437884"/>
    <xdr:sp macro="" textlink="data!B47">
      <xdr:nvSpPr>
        <xdr:cNvPr id="67" name="TextBox 66">
          <a:extLst>
            <a:ext uri="{FF2B5EF4-FFF2-40B4-BE49-F238E27FC236}">
              <a16:creationId xmlns:a16="http://schemas.microsoft.com/office/drawing/2014/main" id="{00000000-0008-0000-0400-000043000000}"/>
            </a:ext>
          </a:extLst>
        </xdr:cNvPr>
        <xdr:cNvSpPr txBox="1"/>
      </xdr:nvSpPr>
      <xdr:spPr>
        <a:xfrm>
          <a:off x="3210133" y="3279672"/>
          <a:ext cx="555905" cy="43788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46ACADFE-016A-2C42-8BFC-AFCAC839CEB2}" type="TxLink">
            <a:rPr lang="en-US" sz="16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92%</a:t>
          </a:fld>
          <a:endParaRPr lang="en-US" sz="16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7</xdr:col>
      <xdr:colOff>28954</xdr:colOff>
      <xdr:row>21</xdr:row>
      <xdr:rowOff>146538</xdr:rowOff>
    </xdr:from>
    <xdr:ext cx="816746" cy="401251"/>
    <xdr:sp macro="" textlink="data!B50">
      <xdr:nvSpPr>
        <xdr:cNvPr id="68" name="TextBox 67">
          <a:extLst>
            <a:ext uri="{FF2B5EF4-FFF2-40B4-BE49-F238E27FC236}">
              <a16:creationId xmlns:a16="http://schemas.microsoft.com/office/drawing/2014/main" id="{00000000-0008-0000-0400-000044000000}"/>
            </a:ext>
          </a:extLst>
        </xdr:cNvPr>
        <xdr:cNvSpPr txBox="1"/>
      </xdr:nvSpPr>
      <xdr:spPr>
        <a:xfrm>
          <a:off x="4190646" y="4359519"/>
          <a:ext cx="816746" cy="4012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C86F9810-C36B-634F-991F-9D6ABD807826}" type="TxLink">
            <a:rPr lang="en-US" sz="15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56%</a:t>
          </a:fld>
          <a:endParaRPr lang="en-US" sz="15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4</xdr:col>
      <xdr:colOff>583365</xdr:colOff>
      <xdr:row>21</xdr:row>
      <xdr:rowOff>122465</xdr:rowOff>
    </xdr:from>
    <xdr:ext cx="816746" cy="437884"/>
    <xdr:sp macro="" textlink="data!B49">
      <xdr:nvSpPr>
        <xdr:cNvPr id="69" name="TextBox 68">
          <a:extLst>
            <a:ext uri="{FF2B5EF4-FFF2-40B4-BE49-F238E27FC236}">
              <a16:creationId xmlns:a16="http://schemas.microsoft.com/office/drawing/2014/main" id="{00000000-0008-0000-0400-000045000000}"/>
            </a:ext>
          </a:extLst>
        </xdr:cNvPr>
        <xdr:cNvSpPr txBox="1"/>
      </xdr:nvSpPr>
      <xdr:spPr>
        <a:xfrm>
          <a:off x="2590942" y="4335446"/>
          <a:ext cx="816746" cy="43788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F2EB4A0A-D47C-CC48-9F7A-27278CF02FB2}" type="TxLink">
            <a:rPr lang="en-US" sz="15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33%</a:t>
          </a:fld>
          <a:endParaRPr lang="en-US" sz="15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twoCellAnchor editAs="oneCell">
    <xdr:from>
      <xdr:col>1</xdr:col>
      <xdr:colOff>73269</xdr:colOff>
      <xdr:row>3</xdr:row>
      <xdr:rowOff>98999</xdr:rowOff>
    </xdr:from>
    <xdr:to>
      <xdr:col>4</xdr:col>
      <xdr:colOff>183173</xdr:colOff>
      <xdr:row>5</xdr:row>
      <xdr:rowOff>168518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00404" y="860999"/>
          <a:ext cx="1890346" cy="450519"/>
        </a:xfrm>
        <a:prstGeom prst="rect">
          <a:avLst/>
        </a:prstGeom>
      </xdr:spPr>
    </xdr:pic>
    <xdr:clientData/>
  </xdr:twoCellAnchor>
  <xdr:twoCellAnchor editAs="oneCell">
    <xdr:from>
      <xdr:col>8</xdr:col>
      <xdr:colOff>43961</xdr:colOff>
      <xdr:row>21</xdr:row>
      <xdr:rowOff>65941</xdr:rowOff>
    </xdr:from>
    <xdr:to>
      <xdr:col>8</xdr:col>
      <xdr:colOff>596523</xdr:colOff>
      <xdr:row>24</xdr:row>
      <xdr:rowOff>85723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EFE8258-C9D4-CFCE-2D99-26FB318D10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23692" y="4278922"/>
          <a:ext cx="552562" cy="598609"/>
        </a:xfrm>
        <a:prstGeom prst="rect">
          <a:avLst/>
        </a:prstGeom>
      </xdr:spPr>
    </xdr:pic>
    <xdr:clientData/>
  </xdr:twoCellAnchor>
  <xdr:twoCellAnchor editAs="oneCell">
    <xdr:from>
      <xdr:col>1</xdr:col>
      <xdr:colOff>102577</xdr:colOff>
      <xdr:row>21</xdr:row>
      <xdr:rowOff>80597</xdr:rowOff>
    </xdr:from>
    <xdr:to>
      <xdr:col>2</xdr:col>
      <xdr:colOff>323625</xdr:colOff>
      <xdr:row>24</xdr:row>
      <xdr:rowOff>58616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A728D78-AD75-F08A-D07A-3A83104E90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9712" y="4293578"/>
          <a:ext cx="565413" cy="556846"/>
        </a:xfrm>
        <a:prstGeom prst="rect">
          <a:avLst/>
        </a:prstGeom>
      </xdr:spPr>
    </xdr:pic>
    <xdr:clientData/>
  </xdr:twoCellAnchor>
  <xdr:twoCellAnchor editAs="oneCell">
    <xdr:from>
      <xdr:col>4</xdr:col>
      <xdr:colOff>77138</xdr:colOff>
      <xdr:row>21</xdr:row>
      <xdr:rowOff>139211</xdr:rowOff>
    </xdr:from>
    <xdr:to>
      <xdr:col>4</xdr:col>
      <xdr:colOff>595232</xdr:colOff>
      <xdr:row>23</xdr:row>
      <xdr:rowOff>184637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C9E0519-6BAA-5B51-DD00-84B41E3523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84715" y="4352192"/>
          <a:ext cx="518094" cy="433753"/>
        </a:xfrm>
        <a:prstGeom prst="rect">
          <a:avLst/>
        </a:prstGeom>
      </xdr:spPr>
    </xdr:pic>
    <xdr:clientData/>
  </xdr:twoCellAnchor>
  <xdr:twoCellAnchor editAs="oneCell">
    <xdr:from>
      <xdr:col>5</xdr:col>
      <xdr:colOff>608135</xdr:colOff>
      <xdr:row>21</xdr:row>
      <xdr:rowOff>87923</xdr:rowOff>
    </xdr:from>
    <xdr:to>
      <xdr:col>6</xdr:col>
      <xdr:colOff>334108</xdr:colOff>
      <xdr:row>24</xdr:row>
      <xdr:rowOff>30041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AA30195-C01C-BF41-98B3-4DC2B69797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0" y="4300904"/>
          <a:ext cx="444012" cy="520945"/>
        </a:xfrm>
        <a:prstGeom prst="rect">
          <a:avLst/>
        </a:prstGeom>
      </xdr:spPr>
    </xdr:pic>
    <xdr:clientData/>
  </xdr:twoCellAnchor>
  <xdr:twoCellAnchor editAs="oneCell">
    <xdr:from>
      <xdr:col>2</xdr:col>
      <xdr:colOff>468923</xdr:colOff>
      <xdr:row>30</xdr:row>
      <xdr:rowOff>95250</xdr:rowOff>
    </xdr:from>
    <xdr:to>
      <xdr:col>3</xdr:col>
      <xdr:colOff>557894</xdr:colOff>
      <xdr:row>36</xdr:row>
      <xdr:rowOff>82062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D4BCF374-C726-6EA5-E139-931E5FB7A3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0423" y="6030058"/>
          <a:ext cx="807009" cy="1129812"/>
        </a:xfrm>
        <a:prstGeom prst="rect">
          <a:avLst/>
        </a:prstGeom>
      </xdr:spPr>
    </xdr:pic>
    <xdr:clientData/>
  </xdr:twoCellAnchor>
  <xdr:oneCellAnchor>
    <xdr:from>
      <xdr:col>6</xdr:col>
      <xdr:colOff>8652</xdr:colOff>
      <xdr:row>7</xdr:row>
      <xdr:rowOff>4467</xdr:rowOff>
    </xdr:from>
    <xdr:ext cx="1757135" cy="589642"/>
    <xdr:sp macro="" textlink="data!A42">
      <xdr:nvSpPr>
        <xdr:cNvPr id="19" name="TextBox 18">
          <a:extLst>
            <a:ext uri="{FF2B5EF4-FFF2-40B4-BE49-F238E27FC236}">
              <a16:creationId xmlns:a16="http://schemas.microsoft.com/office/drawing/2014/main" id="{B0F24B8B-61AE-45E3-972B-624F2D2AD152}"/>
            </a:ext>
          </a:extLst>
        </xdr:cNvPr>
        <xdr:cNvSpPr txBox="1"/>
      </xdr:nvSpPr>
      <xdr:spPr>
        <a:xfrm>
          <a:off x="3452306" y="1535794"/>
          <a:ext cx="1757135" cy="5896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387AE869-DAB8-4687-8D57-59C270C6D70A}" type="TxLink">
            <a:rPr lang="en-US" sz="11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Among women …</a:t>
          </a:fld>
          <a:endParaRPr lang="en-US" sz="11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2</xdr:col>
      <xdr:colOff>199152</xdr:colOff>
      <xdr:row>7</xdr:row>
      <xdr:rowOff>41101</xdr:rowOff>
    </xdr:from>
    <xdr:ext cx="1757135" cy="589642"/>
    <xdr:sp macro="" textlink="data!A43">
      <xdr:nvSpPr>
        <xdr:cNvPr id="20" name="TextBox 19">
          <a:extLst>
            <a:ext uri="{FF2B5EF4-FFF2-40B4-BE49-F238E27FC236}">
              <a16:creationId xmlns:a16="http://schemas.microsoft.com/office/drawing/2014/main" id="{E6578AEE-A72E-06A7-B172-9C459AD8D2B4}"/>
            </a:ext>
          </a:extLst>
        </xdr:cNvPr>
        <xdr:cNvSpPr txBox="1"/>
      </xdr:nvSpPr>
      <xdr:spPr>
        <a:xfrm>
          <a:off x="770652" y="1572428"/>
          <a:ext cx="1757135" cy="5896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4FE5603C-EE3A-47F1-BA16-2D984086F676}" type="TxLink">
            <a:rPr lang="en-US" sz="11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Among men …</a:t>
          </a:fld>
          <a:endParaRPr lang="en-US" sz="11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twoCellAnchor editAs="oneCell">
    <xdr:from>
      <xdr:col>5</xdr:col>
      <xdr:colOff>527541</xdr:colOff>
      <xdr:row>7</xdr:row>
      <xdr:rowOff>36635</xdr:rowOff>
    </xdr:from>
    <xdr:to>
      <xdr:col>6</xdr:col>
      <xdr:colOff>112076</xdr:colOff>
      <xdr:row>10</xdr:row>
      <xdr:rowOff>77664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2842D6C-890F-483F-9C76-CDB8F79EA45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271"/>
        <a:stretch/>
      </xdr:blipFill>
      <xdr:spPr>
        <a:xfrm>
          <a:off x="3253156" y="1567962"/>
          <a:ext cx="302574" cy="612529"/>
        </a:xfrm>
        <a:prstGeom prst="rect">
          <a:avLst/>
        </a:prstGeom>
      </xdr:spPr>
    </xdr:pic>
    <xdr:clientData/>
  </xdr:twoCellAnchor>
  <xdr:twoCellAnchor editAs="oneCell">
    <xdr:from>
      <xdr:col>1</xdr:col>
      <xdr:colOff>266382</xdr:colOff>
      <xdr:row>7</xdr:row>
      <xdr:rowOff>14654</xdr:rowOff>
    </xdr:from>
    <xdr:to>
      <xdr:col>2</xdr:col>
      <xdr:colOff>212759</xdr:colOff>
      <xdr:row>10</xdr:row>
      <xdr:rowOff>49822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ED5F64E3-6686-9BFD-49F6-930A5ECE4B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3695"/>
        <a:stretch/>
      </xdr:blipFill>
      <xdr:spPr>
        <a:xfrm>
          <a:off x="493517" y="1545981"/>
          <a:ext cx="290742" cy="606668"/>
        </a:xfrm>
        <a:prstGeom prst="rect">
          <a:avLst/>
        </a:prstGeom>
      </xdr:spPr>
    </xdr:pic>
    <xdr:clientData/>
  </xdr:twoCellAnchor>
</xdr:wsDr>
</file>

<file path=xl/drawings/drawing20.xml><?xml version="1.0" encoding="utf-8"?>
<c:userShapes xmlns:c="http://schemas.openxmlformats.org/drawingml/2006/chart"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21.xml><?xml version="1.0" encoding="utf-8"?>
<c:userShapes xmlns:c="http://schemas.openxmlformats.org/drawingml/2006/chart"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22.xml><?xml version="1.0" encoding="utf-8"?>
<c:userShapes xmlns:c="http://schemas.openxmlformats.org/drawingml/2006/chart"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240196</xdr:colOff>
      <xdr:row>24</xdr:row>
      <xdr:rowOff>57978</xdr:rowOff>
    </xdr:from>
    <xdr:to>
      <xdr:col>2</xdr:col>
      <xdr:colOff>264770</xdr:colOff>
      <xdr:row>29</xdr:row>
      <xdr:rowOff>97055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97798F20-70ED-12F7-B056-95851E7226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207061</xdr:colOff>
      <xdr:row>8</xdr:row>
      <xdr:rowOff>107675</xdr:rowOff>
    </xdr:from>
    <xdr:to>
      <xdr:col>5</xdr:col>
      <xdr:colOff>231635</xdr:colOff>
      <xdr:row>13</xdr:row>
      <xdr:rowOff>146752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6099E43A-36D4-F50D-BD5F-54C6AA18CE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17</xdr:row>
      <xdr:rowOff>173182</xdr:rowOff>
    </xdr:from>
    <xdr:to>
      <xdr:col>4</xdr:col>
      <xdr:colOff>264583</xdr:colOff>
      <xdr:row>22</xdr:row>
      <xdr:rowOff>5773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0</xdr:col>
      <xdr:colOff>684824</xdr:colOff>
      <xdr:row>21</xdr:row>
      <xdr:rowOff>148792</xdr:rowOff>
    </xdr:from>
    <xdr:ext cx="2106413" cy="473861"/>
    <xdr:sp macro="" textlink="data!A59">
      <xdr:nvSpPr>
        <xdr:cNvPr id="6" name="TextBox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684824" y="4339792"/>
          <a:ext cx="2106413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26F0B2B0-076C-493E-9D6B-79D5F7156A9C}" type="TxLink">
            <a:rPr lang="en-US" sz="11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l"/>
            <a:t>of the population are obese**</a:t>
          </a:fld>
          <a:endParaRPr lang="en-US" sz="11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0</xdr:col>
      <xdr:colOff>137586</xdr:colOff>
      <xdr:row>21</xdr:row>
      <xdr:rowOff>140378</xdr:rowOff>
    </xdr:from>
    <xdr:ext cx="471714" cy="473861"/>
    <xdr:sp macro="" textlink="data!B59">
      <xdr:nvSpPr>
        <xdr:cNvPr id="7" name="TextBox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/>
      </xdr:nvSpPr>
      <xdr:spPr>
        <a:xfrm>
          <a:off x="137586" y="5474378"/>
          <a:ext cx="471714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r"/>
          <a:fld id="{60C938B5-21E7-41AB-A08A-F1D140469909}" type="TxLink">
            <a:rPr lang="en-US" sz="15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r"/>
            <a:t>27%</a:t>
          </a:fld>
          <a:endParaRPr lang="en-US" sz="15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twoCellAnchor>
    <xdr:from>
      <xdr:col>0</xdr:col>
      <xdr:colOff>0</xdr:colOff>
      <xdr:row>2</xdr:row>
      <xdr:rowOff>60613</xdr:rowOff>
    </xdr:from>
    <xdr:to>
      <xdr:col>4</xdr:col>
      <xdr:colOff>264583</xdr:colOff>
      <xdr:row>6</xdr:row>
      <xdr:rowOff>71197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0</xdr:col>
      <xdr:colOff>658676</xdr:colOff>
      <xdr:row>5</xdr:row>
      <xdr:rowOff>176946</xdr:rowOff>
    </xdr:from>
    <xdr:ext cx="2595255" cy="473861"/>
    <xdr:sp macro="" textlink="data!A56">
      <xdr:nvSpPr>
        <xdr:cNvPr id="14" name="TextBox 13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SpPr txBox="1"/>
      </xdr:nvSpPr>
      <xdr:spPr>
        <a:xfrm>
          <a:off x="658676" y="1319946"/>
          <a:ext cx="2595255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52F698B1-CC8C-4965-98CE-15FB0AD1E0C5}" type="TxLink">
            <a:rPr lang="en-US" sz="11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l"/>
            <a:t>of the population are overweight*</a:t>
          </a:fld>
          <a:endParaRPr lang="en-US" sz="11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0</xdr:col>
      <xdr:colOff>118253</xdr:colOff>
      <xdr:row>6</xdr:row>
      <xdr:rowOff>98261</xdr:rowOff>
    </xdr:from>
    <xdr:ext cx="471714" cy="266455"/>
    <xdr:sp macro="" textlink="data!B56">
      <xdr:nvSpPr>
        <xdr:cNvPr id="15" name="TextBox 14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SpPr txBox="1"/>
      </xdr:nvSpPr>
      <xdr:spPr>
        <a:xfrm>
          <a:off x="118253" y="1431761"/>
          <a:ext cx="471714" cy="2664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r"/>
          <a:fld id="{5D33ACEE-6F0E-4D3A-A9E5-12D425616CBA}" type="TxLink">
            <a:rPr lang="en-US" sz="15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r"/>
            <a:t>63%</a:t>
          </a:fld>
          <a:endParaRPr lang="en-US" sz="15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1</xdr:col>
      <xdr:colOff>450942</xdr:colOff>
      <xdr:row>10</xdr:row>
      <xdr:rowOff>50157</xdr:rowOff>
    </xdr:from>
    <xdr:ext cx="609232" cy="473861"/>
    <xdr:sp macro="" textlink="data!B57">
      <xdr:nvSpPr>
        <xdr:cNvPr id="28" name="TextBox 27">
          <a:extLst>
            <a:ext uri="{FF2B5EF4-FFF2-40B4-BE49-F238E27FC236}">
              <a16:creationId xmlns:a16="http://schemas.microsoft.com/office/drawing/2014/main" id="{00000000-0008-0000-0500-00001C000000}"/>
            </a:ext>
          </a:extLst>
        </xdr:cNvPr>
        <xdr:cNvSpPr txBox="1"/>
      </xdr:nvSpPr>
      <xdr:spPr>
        <a:xfrm>
          <a:off x="1163246" y="2145657"/>
          <a:ext cx="609232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AA8CC1C9-A5A6-194A-AAAE-63F5FE584D83}" type="TxLink">
            <a:rPr lang="en-US" sz="16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l"/>
            <a:t>62%</a:t>
          </a:fld>
          <a:endParaRPr lang="en-US" sz="16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4</xdr:col>
      <xdr:colOff>324399</xdr:colOff>
      <xdr:row>10</xdr:row>
      <xdr:rowOff>82826</xdr:rowOff>
    </xdr:from>
    <xdr:ext cx="471714" cy="418647"/>
    <xdr:sp macro="" textlink="data!B58">
      <xdr:nvSpPr>
        <xdr:cNvPr id="29" name="TextBox 28">
          <a:extLst>
            <a:ext uri="{FF2B5EF4-FFF2-40B4-BE49-F238E27FC236}">
              <a16:creationId xmlns:a16="http://schemas.microsoft.com/office/drawing/2014/main" id="{00000000-0008-0000-0500-00001D000000}"/>
            </a:ext>
          </a:extLst>
        </xdr:cNvPr>
        <xdr:cNvSpPr txBox="1"/>
      </xdr:nvSpPr>
      <xdr:spPr>
        <a:xfrm>
          <a:off x="3173616" y="2178326"/>
          <a:ext cx="471714" cy="41864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AAC5BAB0-1728-254E-8C79-1A91EB05671F}" type="TxLink">
            <a:rPr lang="en-US" sz="16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65%</a:t>
          </a:fld>
          <a:endParaRPr lang="en-US" sz="16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1</xdr:col>
      <xdr:colOff>111354</xdr:colOff>
      <xdr:row>13</xdr:row>
      <xdr:rowOff>74543</xdr:rowOff>
    </xdr:from>
    <xdr:ext cx="1031645" cy="662609"/>
    <xdr:sp macro="" textlink="data!A57">
      <xdr:nvSpPr>
        <xdr:cNvPr id="30" name="TextBox 29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SpPr txBox="1"/>
      </xdr:nvSpPr>
      <xdr:spPr>
        <a:xfrm>
          <a:off x="823658" y="2741543"/>
          <a:ext cx="1031645" cy="66260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marL="0" indent="0" algn="ctr"/>
          <a:fld id="{8FE5452B-ABE5-E24E-A3E2-F6353F5555D0}" type="TxLink">
            <a:rPr lang="en-US" sz="11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of men are overweight</a:t>
          </a:fld>
          <a:endParaRPr lang="en-US" sz="11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3</xdr:col>
      <xdr:colOff>583463</xdr:colOff>
      <xdr:row>13</xdr:row>
      <xdr:rowOff>75464</xdr:rowOff>
    </xdr:from>
    <xdr:ext cx="1271840" cy="744515"/>
    <xdr:sp macro="" textlink="data!A58">
      <xdr:nvSpPr>
        <xdr:cNvPr id="31" name="TextBox 30">
          <a:extLst>
            <a:ext uri="{FF2B5EF4-FFF2-40B4-BE49-F238E27FC236}">
              <a16:creationId xmlns:a16="http://schemas.microsoft.com/office/drawing/2014/main" id="{00000000-0008-0000-0500-00001F000000}"/>
            </a:ext>
          </a:extLst>
        </xdr:cNvPr>
        <xdr:cNvSpPr txBox="1"/>
      </xdr:nvSpPr>
      <xdr:spPr>
        <a:xfrm>
          <a:off x="2720376" y="2742464"/>
          <a:ext cx="1271840" cy="7445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marL="0" indent="0" algn="ctr"/>
          <a:fld id="{8F6D18FA-4E4E-D042-A8FA-BBDF460455E6}" type="TxLink">
            <a:rPr lang="en-US" sz="11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of women are overweight</a:t>
          </a:fld>
          <a:endParaRPr lang="en-US" sz="11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1</xdr:col>
      <xdr:colOff>398487</xdr:colOff>
      <xdr:row>25</xdr:row>
      <xdr:rowOff>173474</xdr:rowOff>
    </xdr:from>
    <xdr:ext cx="471714" cy="473861"/>
    <xdr:sp macro="" textlink="data!B60">
      <xdr:nvSpPr>
        <xdr:cNvPr id="32" name="TextBox 31">
          <a:extLst>
            <a:ext uri="{FF2B5EF4-FFF2-40B4-BE49-F238E27FC236}">
              <a16:creationId xmlns:a16="http://schemas.microsoft.com/office/drawing/2014/main" id="{00000000-0008-0000-0500-000020000000}"/>
            </a:ext>
          </a:extLst>
        </xdr:cNvPr>
        <xdr:cNvSpPr txBox="1"/>
      </xdr:nvSpPr>
      <xdr:spPr>
        <a:xfrm>
          <a:off x="1110791" y="5126474"/>
          <a:ext cx="471714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9267AE09-5D47-CA47-A78E-D0652BB28FEC}" type="TxLink">
            <a:rPr lang="en-US" sz="16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l"/>
            <a:t>23%</a:t>
          </a:fld>
          <a:endParaRPr lang="en-US" sz="16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1</xdr:col>
      <xdr:colOff>147707</xdr:colOff>
      <xdr:row>29</xdr:row>
      <xdr:rowOff>34509</xdr:rowOff>
    </xdr:from>
    <xdr:ext cx="899583" cy="473861"/>
    <xdr:sp macro="" textlink="data!A60">
      <xdr:nvSpPr>
        <xdr:cNvPr id="33" name="TextBox 32">
          <a:extLst>
            <a:ext uri="{FF2B5EF4-FFF2-40B4-BE49-F238E27FC236}">
              <a16:creationId xmlns:a16="http://schemas.microsoft.com/office/drawing/2014/main" id="{00000000-0008-0000-0500-000021000000}"/>
            </a:ext>
          </a:extLst>
        </xdr:cNvPr>
        <xdr:cNvSpPr txBox="1"/>
      </xdr:nvSpPr>
      <xdr:spPr>
        <a:xfrm>
          <a:off x="860011" y="5749509"/>
          <a:ext cx="899583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marL="0" indent="0" algn="ctr"/>
          <a:fld id="{BCE9460F-C23B-9346-A73A-01F241EA416C}" type="TxLink">
            <a:rPr lang="en-US" sz="11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of men are obese</a:t>
          </a:fld>
          <a:endParaRPr lang="en-US" sz="11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4</xdr:col>
      <xdr:colOff>260902</xdr:colOff>
      <xdr:row>25</xdr:row>
      <xdr:rowOff>116419</xdr:rowOff>
    </xdr:from>
    <xdr:ext cx="471714" cy="473861"/>
    <xdr:sp macro="" textlink="data!B61">
      <xdr:nvSpPr>
        <xdr:cNvPr id="34" name="TextBox 33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SpPr txBox="1"/>
      </xdr:nvSpPr>
      <xdr:spPr>
        <a:xfrm>
          <a:off x="3110119" y="5069419"/>
          <a:ext cx="471714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752F98E8-D0BD-1647-B481-2F757D712F61}" type="TxLink">
            <a:rPr lang="en-US" sz="16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l"/>
            <a:t>36%</a:t>
          </a:fld>
          <a:endParaRPr lang="en-US" sz="16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3</xdr:col>
      <xdr:colOff>619352</xdr:colOff>
      <xdr:row>28</xdr:row>
      <xdr:rowOff>182219</xdr:rowOff>
    </xdr:from>
    <xdr:ext cx="1079502" cy="436126"/>
    <xdr:sp macro="" textlink="data!A61">
      <xdr:nvSpPr>
        <xdr:cNvPr id="35" name="TextBox 34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SpPr txBox="1"/>
      </xdr:nvSpPr>
      <xdr:spPr>
        <a:xfrm>
          <a:off x="2756265" y="5706719"/>
          <a:ext cx="1079502" cy="4361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marL="0" indent="0" algn="ctr"/>
          <a:fld id="{C0D844DD-2AC2-334B-B541-E99DF2BA87FE}" type="TxLink">
            <a:rPr lang="en-US" sz="11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of women are obese</a:t>
          </a:fld>
          <a:endParaRPr lang="en-US" sz="11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twoCellAnchor editAs="oneCell">
    <xdr:from>
      <xdr:col>0</xdr:col>
      <xdr:colOff>107169</xdr:colOff>
      <xdr:row>18</xdr:row>
      <xdr:rowOff>116329</xdr:rowOff>
    </xdr:from>
    <xdr:to>
      <xdr:col>3</xdr:col>
      <xdr:colOff>622016</xdr:colOff>
      <xdr:row>21</xdr:row>
      <xdr:rowOff>102613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7169" y="4878829"/>
          <a:ext cx="2651760" cy="557784"/>
        </a:xfrm>
        <a:prstGeom prst="rect">
          <a:avLst/>
        </a:prstGeom>
      </xdr:spPr>
    </xdr:pic>
    <xdr:clientData/>
  </xdr:twoCellAnchor>
  <xdr:twoCellAnchor editAs="oneCell">
    <xdr:from>
      <xdr:col>0</xdr:col>
      <xdr:colOff>95628</xdr:colOff>
      <xdr:row>3</xdr:row>
      <xdr:rowOff>5776</xdr:rowOff>
    </xdr:from>
    <xdr:to>
      <xdr:col>3</xdr:col>
      <xdr:colOff>609562</xdr:colOff>
      <xdr:row>5</xdr:row>
      <xdr:rowOff>173416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5628" y="767776"/>
          <a:ext cx="2657059" cy="548640"/>
        </a:xfrm>
        <a:prstGeom prst="rect">
          <a:avLst/>
        </a:prstGeom>
      </xdr:spPr>
    </xdr:pic>
    <xdr:clientData/>
  </xdr:twoCellAnchor>
  <xdr:twoCellAnchor editAs="oneCell">
    <xdr:from>
      <xdr:col>5</xdr:col>
      <xdr:colOff>409576</xdr:colOff>
      <xdr:row>0</xdr:row>
      <xdr:rowOff>107674</xdr:rowOff>
    </xdr:from>
    <xdr:to>
      <xdr:col>7</xdr:col>
      <xdr:colOff>117308</xdr:colOff>
      <xdr:row>11</xdr:row>
      <xdr:rowOff>159595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CBA821F-8DF7-544A-D18E-AC4854C0EB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81451" y="107674"/>
          <a:ext cx="1136482" cy="2337921"/>
        </a:xfrm>
        <a:prstGeom prst="rect">
          <a:avLst/>
        </a:prstGeom>
      </xdr:spPr>
    </xdr:pic>
    <xdr:clientData/>
  </xdr:twoCellAnchor>
  <xdr:twoCellAnchor>
    <xdr:from>
      <xdr:col>1</xdr:col>
      <xdr:colOff>306457</xdr:colOff>
      <xdr:row>8</xdr:row>
      <xdr:rowOff>107674</xdr:rowOff>
    </xdr:from>
    <xdr:to>
      <xdr:col>2</xdr:col>
      <xdr:colOff>331031</xdr:colOff>
      <xdr:row>13</xdr:row>
      <xdr:rowOff>146751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F748C2D-DCED-4954-885F-D6E85B3A6A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107674</xdr:colOff>
      <xdr:row>23</xdr:row>
      <xdr:rowOff>173935</xdr:rowOff>
    </xdr:from>
    <xdr:to>
      <xdr:col>5</xdr:col>
      <xdr:colOff>132248</xdr:colOff>
      <xdr:row>29</xdr:row>
      <xdr:rowOff>22512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9609FCE4-66C0-4BAD-52CF-BAED0F78AD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0</xdr:col>
      <xdr:colOff>588065</xdr:colOff>
      <xdr:row>25</xdr:row>
      <xdr:rowOff>131140</xdr:rowOff>
    </xdr:from>
    <xdr:to>
      <xdr:col>1</xdr:col>
      <xdr:colOff>164432</xdr:colOff>
      <xdr:row>28</xdr:row>
      <xdr:rowOff>166308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72A7E8C-1703-4E7C-BE04-E7711DE1277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3695"/>
        <a:stretch/>
      </xdr:blipFill>
      <xdr:spPr>
        <a:xfrm>
          <a:off x="588065" y="5084140"/>
          <a:ext cx="288671" cy="606668"/>
        </a:xfrm>
        <a:prstGeom prst="rect">
          <a:avLst/>
        </a:prstGeom>
      </xdr:spPr>
    </xdr:pic>
    <xdr:clientData/>
  </xdr:twoCellAnchor>
  <xdr:twoCellAnchor editAs="oneCell">
    <xdr:from>
      <xdr:col>3</xdr:col>
      <xdr:colOff>434147</xdr:colOff>
      <xdr:row>25</xdr:row>
      <xdr:rowOff>91109</xdr:rowOff>
    </xdr:from>
    <xdr:to>
      <xdr:col>4</xdr:col>
      <xdr:colOff>24417</xdr:colOff>
      <xdr:row>28</xdr:row>
      <xdr:rowOff>132138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B83CD65-0585-445A-AE32-E487B56E63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271"/>
        <a:stretch/>
      </xdr:blipFill>
      <xdr:spPr>
        <a:xfrm>
          <a:off x="2571060" y="5044109"/>
          <a:ext cx="302574" cy="612529"/>
        </a:xfrm>
        <a:prstGeom prst="rect">
          <a:avLst/>
        </a:prstGeom>
      </xdr:spPr>
    </xdr:pic>
    <xdr:clientData/>
  </xdr:twoCellAnchor>
  <xdr:twoCellAnchor editAs="oneCell">
    <xdr:from>
      <xdr:col>0</xdr:col>
      <xdr:colOff>646043</xdr:colOff>
      <xdr:row>9</xdr:row>
      <xdr:rowOff>155988</xdr:rowOff>
    </xdr:from>
    <xdr:to>
      <xdr:col>1</xdr:col>
      <xdr:colOff>222410</xdr:colOff>
      <xdr:row>13</xdr:row>
      <xdr:rowOff>656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547961C-E4F1-44F3-AA5A-17825667EEF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3695"/>
        <a:stretch/>
      </xdr:blipFill>
      <xdr:spPr>
        <a:xfrm>
          <a:off x="646043" y="2060988"/>
          <a:ext cx="288671" cy="606668"/>
        </a:xfrm>
        <a:prstGeom prst="rect">
          <a:avLst/>
        </a:prstGeom>
      </xdr:spPr>
    </xdr:pic>
    <xdr:clientData/>
  </xdr:twoCellAnchor>
  <xdr:twoCellAnchor editAs="oneCell">
    <xdr:from>
      <xdr:col>3</xdr:col>
      <xdr:colOff>492125</xdr:colOff>
      <xdr:row>9</xdr:row>
      <xdr:rowOff>115957</xdr:rowOff>
    </xdr:from>
    <xdr:to>
      <xdr:col>4</xdr:col>
      <xdr:colOff>82395</xdr:colOff>
      <xdr:row>12</xdr:row>
      <xdr:rowOff>156986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D2685213-FFB8-4692-8079-B41D9713B9A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271"/>
        <a:stretch/>
      </xdr:blipFill>
      <xdr:spPr>
        <a:xfrm>
          <a:off x="2629038" y="2020957"/>
          <a:ext cx="302574" cy="612529"/>
        </a:xfrm>
        <a:prstGeom prst="rect">
          <a:avLst/>
        </a:prstGeom>
      </xdr:spPr>
    </xdr:pic>
    <xdr:clientData/>
  </xdr:twoCellAnchor>
  <xdr:oneCellAnchor>
    <xdr:from>
      <xdr:col>0</xdr:col>
      <xdr:colOff>80757</xdr:colOff>
      <xdr:row>33</xdr:row>
      <xdr:rowOff>0</xdr:rowOff>
    </xdr:from>
    <xdr:ext cx="753716" cy="190500"/>
    <xdr:sp macro="" textlink="data!A62">
      <xdr:nvSpPr>
        <xdr:cNvPr id="17" name="TextBox 16">
          <a:extLst>
            <a:ext uri="{FF2B5EF4-FFF2-40B4-BE49-F238E27FC236}">
              <a16:creationId xmlns:a16="http://schemas.microsoft.com/office/drawing/2014/main" id="{E490D3B4-27B9-4B10-8432-4493D405D402}"/>
            </a:ext>
          </a:extLst>
        </xdr:cNvPr>
        <xdr:cNvSpPr txBox="1"/>
      </xdr:nvSpPr>
      <xdr:spPr>
        <a:xfrm>
          <a:off x="80757" y="6477000"/>
          <a:ext cx="753716" cy="190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marL="0" indent="0" algn="ctr"/>
          <a:fld id="{259B1E45-1F07-491C-944C-A9402FFC465F}" type="TxLink">
            <a:rPr lang="en-US" sz="900" b="0" i="1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* BMI ≥ 25</a:t>
          </a:fld>
          <a:endParaRPr lang="en-US" sz="900" b="1" i="1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1</xdr:col>
      <xdr:colOff>147021</xdr:colOff>
      <xdr:row>33</xdr:row>
      <xdr:rowOff>0</xdr:rowOff>
    </xdr:from>
    <xdr:ext cx="753716" cy="190500"/>
    <xdr:sp macro="" textlink="data!A63">
      <xdr:nvSpPr>
        <xdr:cNvPr id="18" name="TextBox 17">
          <a:extLst>
            <a:ext uri="{FF2B5EF4-FFF2-40B4-BE49-F238E27FC236}">
              <a16:creationId xmlns:a16="http://schemas.microsoft.com/office/drawing/2014/main" id="{8BC4FD10-59F7-FE03-141A-B6D28E87E9A2}"/>
            </a:ext>
          </a:extLst>
        </xdr:cNvPr>
        <xdr:cNvSpPr txBox="1"/>
      </xdr:nvSpPr>
      <xdr:spPr>
        <a:xfrm>
          <a:off x="861396" y="6477000"/>
          <a:ext cx="753716" cy="190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marL="0" indent="0" algn="ctr"/>
          <a:fld id="{15284D6E-65BA-470C-A0A0-3592B406B940}" type="TxLink">
            <a:rPr lang="en-US" sz="900" b="0" i="1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** BMI ≥ 30</a:t>
          </a:fld>
          <a:endParaRPr lang="en-US" sz="900" b="1" i="1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</xdr:wsDr>
</file>

<file path=xl/drawings/drawing24.xml><?xml version="1.0" encoding="utf-8"?>
<c:userShapes xmlns:c="http://schemas.openxmlformats.org/drawingml/2006/chart"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25.xml><?xml version="1.0" encoding="utf-8"?>
<c:userShapes xmlns:c="http://schemas.openxmlformats.org/drawingml/2006/chart"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26.xml><?xml version="1.0" encoding="utf-8"?>
<c:userShapes xmlns:c="http://schemas.openxmlformats.org/drawingml/2006/chart"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27.xml><?xml version="1.0" encoding="utf-8"?>
<c:userShapes xmlns:c="http://schemas.openxmlformats.org/drawingml/2006/chart"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50800</xdr:colOff>
      <xdr:row>1</xdr:row>
      <xdr:rowOff>0</xdr:rowOff>
    </xdr:from>
    <xdr:to>
      <xdr:col>5</xdr:col>
      <xdr:colOff>76200</xdr:colOff>
      <xdr:row>6</xdr:row>
      <xdr:rowOff>38099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0</xdr:col>
      <xdr:colOff>183173</xdr:colOff>
      <xdr:row>10</xdr:row>
      <xdr:rowOff>34190</xdr:rowOff>
    </xdr:from>
    <xdr:ext cx="849923" cy="473861"/>
    <xdr:sp macro="" textlink="data!A67">
      <xdr:nvSpPr>
        <xdr:cNvPr id="21" name="TextBox 20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SpPr txBox="1"/>
      </xdr:nvSpPr>
      <xdr:spPr>
        <a:xfrm>
          <a:off x="183173" y="2129690"/>
          <a:ext cx="849923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r"/>
          <a:fld id="{F379499D-9684-3C47-A23A-164BDD5D5B21}" type="TxLink">
            <a:rPr lang="en-US" sz="12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r"/>
            <a:t>Of those …</a:t>
          </a:fld>
          <a:endParaRPr lang="en-US" sz="12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2</xdr:col>
      <xdr:colOff>648025</xdr:colOff>
      <xdr:row>10</xdr:row>
      <xdr:rowOff>167701</xdr:rowOff>
    </xdr:from>
    <xdr:ext cx="2341359" cy="975299"/>
    <xdr:sp macro="" textlink="data!A68">
      <xdr:nvSpPr>
        <xdr:cNvPr id="22" name="TextBox 21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SpPr txBox="1"/>
      </xdr:nvSpPr>
      <xdr:spPr>
        <a:xfrm>
          <a:off x="2084102" y="2263201"/>
          <a:ext cx="2341359" cy="97529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B1C94A3D-80B4-4315-99C0-AE15154DE778}" type="TxLink">
            <a:rPr lang="en-US" sz="12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l"/>
            <a:t>have been previously diagnosed with raised blood pressure (aware)</a:t>
          </a:fld>
          <a:endParaRPr lang="en-US" sz="12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twoCellAnchor>
    <xdr:from>
      <xdr:col>5</xdr:col>
      <xdr:colOff>248613</xdr:colOff>
      <xdr:row>21</xdr:row>
      <xdr:rowOff>10968</xdr:rowOff>
    </xdr:from>
    <xdr:to>
      <xdr:col>7</xdr:col>
      <xdr:colOff>219516</xdr:colOff>
      <xdr:row>26</xdr:row>
      <xdr:rowOff>0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00000000-0008-0000-0600-00002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0</xdr:col>
      <xdr:colOff>122930</xdr:colOff>
      <xdr:row>5</xdr:row>
      <xdr:rowOff>111532</xdr:rowOff>
    </xdr:from>
    <xdr:ext cx="560916" cy="465667"/>
    <xdr:sp macro="" textlink="data!B66">
      <xdr:nvSpPr>
        <xdr:cNvPr id="46" name="TextBox 45">
          <a:extLst>
            <a:ext uri="{FF2B5EF4-FFF2-40B4-BE49-F238E27FC236}">
              <a16:creationId xmlns:a16="http://schemas.microsoft.com/office/drawing/2014/main" id="{00000000-0008-0000-0600-00002E000000}"/>
            </a:ext>
          </a:extLst>
        </xdr:cNvPr>
        <xdr:cNvSpPr txBox="1"/>
      </xdr:nvSpPr>
      <xdr:spPr>
        <a:xfrm>
          <a:off x="122930" y="1635532"/>
          <a:ext cx="560916" cy="4656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r"/>
          <a:fld id="{7A225458-43E7-8744-B1F8-607E14318DA9}" type="TxLink">
            <a:rPr lang="en-US" sz="14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r"/>
            <a:t>28%</a:t>
          </a:fld>
          <a:endParaRPr lang="en-US" sz="14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1</xdr:col>
      <xdr:colOff>52101</xdr:colOff>
      <xdr:row>6</xdr:row>
      <xdr:rowOff>43147</xdr:rowOff>
    </xdr:from>
    <xdr:ext cx="4270783" cy="704198"/>
    <xdr:sp macro="" textlink="data!A66">
      <xdr:nvSpPr>
        <xdr:cNvPr id="48" name="TextBox 47">
          <a:extLst>
            <a:ext uri="{FF2B5EF4-FFF2-40B4-BE49-F238E27FC236}">
              <a16:creationId xmlns:a16="http://schemas.microsoft.com/office/drawing/2014/main" id="{00000000-0008-0000-0600-000030000000}"/>
            </a:ext>
          </a:extLst>
        </xdr:cNvPr>
        <xdr:cNvSpPr txBox="1"/>
      </xdr:nvSpPr>
      <xdr:spPr>
        <a:xfrm>
          <a:off x="770139" y="1376647"/>
          <a:ext cx="4270783" cy="70419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marL="0" indent="0" algn="l"/>
          <a:fld id="{A1F066C8-EA66-BC49-913A-3273D900EF62}" type="TxLink">
            <a:rPr lang="en-US" sz="12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l"/>
            <a:t>of the population have raised blood pressure* or are currently on medication for raised blood pressure</a:t>
          </a:fld>
          <a:endParaRPr lang="en-US" sz="12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1</xdr:col>
      <xdr:colOff>508004</xdr:colOff>
      <xdr:row>8</xdr:row>
      <xdr:rowOff>0</xdr:rowOff>
    </xdr:from>
    <xdr:ext cx="560916" cy="423336"/>
    <xdr:sp macro="" textlink="data!B67">
      <xdr:nvSpPr>
        <xdr:cNvPr id="49" name="TextBox 48">
          <a:extLst>
            <a:ext uri="{FF2B5EF4-FFF2-40B4-BE49-F238E27FC236}">
              <a16:creationId xmlns:a16="http://schemas.microsoft.com/office/drawing/2014/main" id="{00000000-0008-0000-0600-000031000000}"/>
            </a:ext>
          </a:extLst>
        </xdr:cNvPr>
        <xdr:cNvSpPr txBox="1"/>
      </xdr:nvSpPr>
      <xdr:spPr>
        <a:xfrm>
          <a:off x="1333504" y="2095498"/>
          <a:ext cx="560916" cy="4233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5A4CF4BD-8713-3648-9693-B1846E6C43BB}" type="TxLink">
            <a:rPr lang="en-US" sz="1400" b="0" i="0" u="none" strike="noStrike">
              <a:solidFill>
                <a:srgbClr val="561E1F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 </a:t>
          </a:fld>
          <a:endParaRPr lang="en-US" sz="1400" b="1" i="0" u="none" strike="noStrike">
            <a:solidFill>
              <a:srgbClr val="561E1F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twoCellAnchor editAs="oneCell">
    <xdr:from>
      <xdr:col>0</xdr:col>
      <xdr:colOff>151199</xdr:colOff>
      <xdr:row>1</xdr:row>
      <xdr:rowOff>148682</xdr:rowOff>
    </xdr:from>
    <xdr:to>
      <xdr:col>4</xdr:col>
      <xdr:colOff>377640</xdr:colOff>
      <xdr:row>5</xdr:row>
      <xdr:rowOff>121667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1199" y="529682"/>
          <a:ext cx="3098595" cy="734985"/>
        </a:xfrm>
        <a:prstGeom prst="rect">
          <a:avLst/>
        </a:prstGeom>
      </xdr:spPr>
    </xdr:pic>
    <xdr:clientData/>
  </xdr:twoCellAnchor>
  <xdr:twoCellAnchor>
    <xdr:from>
      <xdr:col>1</xdr:col>
      <xdr:colOff>468923</xdr:colOff>
      <xdr:row>10</xdr:row>
      <xdr:rowOff>87923</xdr:rowOff>
    </xdr:from>
    <xdr:to>
      <xdr:col>2</xdr:col>
      <xdr:colOff>487763</xdr:colOff>
      <xdr:row>15</xdr:row>
      <xdr:rowOff>127000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F007214-AC5D-4CC2-B555-5A62AE627C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1</xdr:col>
      <xdr:colOff>578828</xdr:colOff>
      <xdr:row>12</xdr:row>
      <xdr:rowOff>36635</xdr:rowOff>
    </xdr:from>
    <xdr:ext cx="471714" cy="418647"/>
    <xdr:sp macro="" textlink="data!B68">
      <xdr:nvSpPr>
        <xdr:cNvPr id="10" name="TextBox 9">
          <a:extLst>
            <a:ext uri="{FF2B5EF4-FFF2-40B4-BE49-F238E27FC236}">
              <a16:creationId xmlns:a16="http://schemas.microsoft.com/office/drawing/2014/main" id="{88F770B5-E4CE-442D-9BA7-7D54D8FAAFFB}"/>
            </a:ext>
          </a:extLst>
        </xdr:cNvPr>
        <xdr:cNvSpPr txBox="1"/>
      </xdr:nvSpPr>
      <xdr:spPr>
        <a:xfrm>
          <a:off x="1296866" y="2513135"/>
          <a:ext cx="471714" cy="41864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1A43C89B-CBC7-4AD9-ADE1-4229608D355A}" type="TxLink">
            <a:rPr lang="en-US" sz="15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32%</a:t>
          </a:fld>
          <a:endParaRPr lang="en-US" sz="15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twoCellAnchor>
    <xdr:from>
      <xdr:col>1</xdr:col>
      <xdr:colOff>468923</xdr:colOff>
      <xdr:row>15</xdr:row>
      <xdr:rowOff>109904</xdr:rowOff>
    </xdr:from>
    <xdr:to>
      <xdr:col>2</xdr:col>
      <xdr:colOff>487763</xdr:colOff>
      <xdr:row>20</xdr:row>
      <xdr:rowOff>148981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949F0D0E-FDC5-4F15-8111-85C763A0F5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454270</xdr:colOff>
      <xdr:row>20</xdr:row>
      <xdr:rowOff>65940</xdr:rowOff>
    </xdr:from>
    <xdr:to>
      <xdr:col>2</xdr:col>
      <xdr:colOff>473110</xdr:colOff>
      <xdr:row>25</xdr:row>
      <xdr:rowOff>105017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C05DC5A5-EBA8-4BE3-9A6F-0544CA2B67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oneCellAnchor>
    <xdr:from>
      <xdr:col>1</xdr:col>
      <xdr:colOff>564174</xdr:colOff>
      <xdr:row>22</xdr:row>
      <xdr:rowOff>29306</xdr:rowOff>
    </xdr:from>
    <xdr:ext cx="471714" cy="418647"/>
    <xdr:sp macro="" textlink="data!B70">
      <xdr:nvSpPr>
        <xdr:cNvPr id="16" name="TextBox 15">
          <a:extLst>
            <a:ext uri="{FF2B5EF4-FFF2-40B4-BE49-F238E27FC236}">
              <a16:creationId xmlns:a16="http://schemas.microsoft.com/office/drawing/2014/main" id="{25996570-40AA-4046-8BFF-A17B84E09A10}"/>
            </a:ext>
          </a:extLst>
        </xdr:cNvPr>
        <xdr:cNvSpPr txBox="1"/>
      </xdr:nvSpPr>
      <xdr:spPr>
        <a:xfrm>
          <a:off x="1282212" y="4410806"/>
          <a:ext cx="471714" cy="41864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E081009C-4C67-4575-97F2-C2661F6DE2DE}" type="TxLink">
            <a:rPr lang="en-US" sz="15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11%</a:t>
          </a:fld>
          <a:endParaRPr lang="en-US" sz="15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2</xdr:col>
      <xdr:colOff>630115</xdr:colOff>
      <xdr:row>15</xdr:row>
      <xdr:rowOff>175846</xdr:rowOff>
    </xdr:from>
    <xdr:ext cx="2341359" cy="975299"/>
    <xdr:sp macro="" textlink="data!A69">
      <xdr:nvSpPr>
        <xdr:cNvPr id="17" name="TextBox 16">
          <a:extLst>
            <a:ext uri="{FF2B5EF4-FFF2-40B4-BE49-F238E27FC236}">
              <a16:creationId xmlns:a16="http://schemas.microsoft.com/office/drawing/2014/main" id="{7E71FF16-2D98-4465-AC61-5EEAAD939A5A}"/>
            </a:ext>
          </a:extLst>
        </xdr:cNvPr>
        <xdr:cNvSpPr txBox="1"/>
      </xdr:nvSpPr>
      <xdr:spPr>
        <a:xfrm>
          <a:off x="2066192" y="3033346"/>
          <a:ext cx="2341359" cy="97529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7CC75A98-7286-43AE-B661-5EAED69CCB12}" type="TxLink">
            <a:rPr lang="en-US" sz="12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l"/>
            <a:t>are taking medication for their raised blood pressure (treated)</a:t>
          </a:fld>
          <a:endParaRPr lang="en-US" sz="12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2</xdr:col>
      <xdr:colOff>615461</xdr:colOff>
      <xdr:row>21</xdr:row>
      <xdr:rowOff>0</xdr:rowOff>
    </xdr:from>
    <xdr:ext cx="2341359" cy="850741"/>
    <xdr:sp macro="" textlink="data!A70">
      <xdr:nvSpPr>
        <xdr:cNvPr id="18" name="TextBox 17">
          <a:extLst>
            <a:ext uri="{FF2B5EF4-FFF2-40B4-BE49-F238E27FC236}">
              <a16:creationId xmlns:a16="http://schemas.microsoft.com/office/drawing/2014/main" id="{8325B299-908F-4B4C-A3A7-150BE70B8855}"/>
            </a:ext>
          </a:extLst>
        </xdr:cNvPr>
        <xdr:cNvSpPr txBox="1"/>
      </xdr:nvSpPr>
      <xdr:spPr>
        <a:xfrm>
          <a:off x="2051538" y="4191000"/>
          <a:ext cx="2341359" cy="8507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88B12FC9-3048-4254-842D-ED4494796F08}" type="TxLink">
            <a:rPr lang="en-US" sz="12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l"/>
            <a:t>have their blood pressure under control (controlled)</a:t>
          </a:fld>
          <a:endParaRPr lang="en-US" sz="12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twoCellAnchor editAs="oneCell">
    <xdr:from>
      <xdr:col>5</xdr:col>
      <xdr:colOff>219808</xdr:colOff>
      <xdr:row>0</xdr:row>
      <xdr:rowOff>169543</xdr:rowOff>
    </xdr:from>
    <xdr:to>
      <xdr:col>7</xdr:col>
      <xdr:colOff>183173</xdr:colOff>
      <xdr:row>5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D20BAEE-874E-6CD6-2DBA-49C1512D5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00" y="169543"/>
          <a:ext cx="1069731" cy="973457"/>
        </a:xfrm>
        <a:prstGeom prst="rect">
          <a:avLst/>
        </a:prstGeom>
      </xdr:spPr>
    </xdr:pic>
    <xdr:clientData/>
  </xdr:twoCellAnchor>
  <xdr:oneCellAnchor>
    <xdr:from>
      <xdr:col>0</xdr:col>
      <xdr:colOff>58615</xdr:colOff>
      <xdr:row>25</xdr:row>
      <xdr:rowOff>95249</xdr:rowOff>
    </xdr:from>
    <xdr:ext cx="2124808" cy="190500"/>
    <xdr:sp macro="" textlink="data!A71">
      <xdr:nvSpPr>
        <xdr:cNvPr id="3" name="TextBox 2">
          <a:extLst>
            <a:ext uri="{FF2B5EF4-FFF2-40B4-BE49-F238E27FC236}">
              <a16:creationId xmlns:a16="http://schemas.microsoft.com/office/drawing/2014/main" id="{4DA1F092-FDE3-414B-80D1-B696A2286348}"/>
            </a:ext>
          </a:extLst>
        </xdr:cNvPr>
        <xdr:cNvSpPr txBox="1"/>
      </xdr:nvSpPr>
      <xdr:spPr>
        <a:xfrm>
          <a:off x="58615" y="5048249"/>
          <a:ext cx="2124808" cy="1905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marL="0" indent="0" algn="l"/>
          <a:fld id="{04F981CE-3EE5-4230-9C44-FD0B1C84B6BD}" type="TxLink">
            <a:rPr lang="en-US" sz="900" b="0" i="1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l"/>
            <a:t>* SBP ≥ 140 and/or DBP ≥ 90 mmHg</a:t>
          </a:fld>
          <a:endParaRPr lang="en-US" sz="900" b="1" i="1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</xdr:wsDr>
</file>

<file path=xl/drawings/drawing29.xml><?xml version="1.0" encoding="utf-8"?>
<c:userShapes xmlns:c="http://schemas.openxmlformats.org/drawingml/2006/chart"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30.xml><?xml version="1.0" encoding="utf-8"?>
<c:userShapes xmlns:c="http://schemas.openxmlformats.org/drawingml/2006/chart"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31.xml><?xml version="1.0" encoding="utf-8"?>
<c:userShapes xmlns:c="http://schemas.openxmlformats.org/drawingml/2006/chart"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0.14848</cdr:x>
      <cdr:y>0.33941</cdr:y>
    </cdr:from>
    <cdr:to>
      <cdr:x>0.78863</cdr:x>
      <cdr:y>0.76161</cdr:y>
    </cdr:to>
    <cdr:sp macro="" textlink="data!$B$69">
      <cdr:nvSpPr>
        <cdr:cNvPr id="20" name="TextBox 9">
          <a:extLst xmlns:a="http://schemas.openxmlformats.org/drawingml/2006/main">
            <a:ext uri="{FF2B5EF4-FFF2-40B4-BE49-F238E27FC236}">
              <a16:creationId xmlns:a16="http://schemas.microsoft.com/office/drawing/2014/main" id="{88F770B5-E4CE-442D-9BA7-7D54D8FAAFFB}"/>
            </a:ext>
          </a:extLst>
        </cdr:cNvPr>
        <cdr:cNvSpPr txBox="1"/>
      </cdr:nvSpPr>
      <cdr:spPr>
        <a:xfrm xmlns:a="http://schemas.openxmlformats.org/drawingml/2006/main">
          <a:off x="109414" y="336550"/>
          <a:ext cx="471714" cy="418647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lIns="0" tIns="0" rIns="0" bIns="0" rtlCol="0" anchor="ctr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indent="0" algn="ctr"/>
          <a:fld id="{2EAB3D51-1E55-46EF-94C6-837940EC22BD}" type="TxLink">
            <a:rPr lang="en-US" sz="15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26%</a:t>
          </a:fld>
          <a:endParaRPr lang="en-US" sz="15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cdr:txBody>
    </cdr:sp>
  </cdr:relSizeAnchor>
</c:userShapes>
</file>

<file path=xl/drawings/drawing32.xml><?xml version="1.0" encoding="utf-8"?>
<c:userShapes xmlns:c="http://schemas.openxmlformats.org/drawingml/2006/chart"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450273</xdr:colOff>
      <xdr:row>16</xdr:row>
      <xdr:rowOff>155864</xdr:rowOff>
    </xdr:from>
    <xdr:to>
      <xdr:col>6</xdr:col>
      <xdr:colOff>684068</xdr:colOff>
      <xdr:row>25</xdr:row>
      <xdr:rowOff>95250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37BE2696-FCED-4994-CBD1-FDA17BEB1A69}"/>
            </a:ext>
          </a:extLst>
        </xdr:cNvPr>
        <xdr:cNvSpPr/>
      </xdr:nvSpPr>
      <xdr:spPr>
        <a:xfrm>
          <a:off x="450273" y="3203864"/>
          <a:ext cx="4546022" cy="1653886"/>
        </a:xfrm>
        <a:prstGeom prst="roundRect">
          <a:avLst/>
        </a:prstGeom>
        <a:noFill/>
        <a:ln w="31750"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 kern="1200"/>
        </a:p>
      </xdr:txBody>
    </xdr:sp>
    <xdr:clientData/>
  </xdr:twoCellAnchor>
  <xdr:twoCellAnchor editAs="oneCell">
    <xdr:from>
      <xdr:col>1</xdr:col>
      <xdr:colOff>486070</xdr:colOff>
      <xdr:row>17</xdr:row>
      <xdr:rowOff>25977</xdr:rowOff>
    </xdr:from>
    <xdr:to>
      <xdr:col>2</xdr:col>
      <xdr:colOff>403905</xdr:colOff>
      <xdr:row>25</xdr:row>
      <xdr:rowOff>13207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4775" y="3264477"/>
          <a:ext cx="636539" cy="1511230"/>
        </a:xfrm>
        <a:prstGeom prst="rect">
          <a:avLst/>
        </a:prstGeom>
      </xdr:spPr>
    </xdr:pic>
    <xdr:clientData/>
  </xdr:twoCellAnchor>
  <xdr:oneCellAnchor>
    <xdr:from>
      <xdr:col>0</xdr:col>
      <xdr:colOff>126991</xdr:colOff>
      <xdr:row>8</xdr:row>
      <xdr:rowOff>72737</xdr:rowOff>
    </xdr:from>
    <xdr:ext cx="522441" cy="465667"/>
    <xdr:sp macro="" textlink="data!B74">
      <xdr:nvSpPr>
        <xdr:cNvPr id="8" name="TextBox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 txBox="1"/>
      </xdr:nvSpPr>
      <xdr:spPr>
        <a:xfrm>
          <a:off x="126991" y="1596737"/>
          <a:ext cx="522441" cy="4656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r"/>
          <a:fld id="{15EC2552-B77C-41E4-BAF5-33675328CB93}" type="TxLink">
            <a:rPr lang="en-US" sz="15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r"/>
            <a:t>13%</a:t>
          </a:fld>
          <a:endParaRPr lang="en-US" sz="15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1</xdr:col>
      <xdr:colOff>41558</xdr:colOff>
      <xdr:row>9</xdr:row>
      <xdr:rowOff>10969</xdr:rowOff>
    </xdr:from>
    <xdr:ext cx="3456714" cy="777008"/>
    <xdr:sp macro="" textlink="data!A74">
      <xdr:nvSpPr>
        <xdr:cNvPr id="9" name="TextBox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 txBox="1"/>
      </xdr:nvSpPr>
      <xdr:spPr>
        <a:xfrm>
          <a:off x="760263" y="1725469"/>
          <a:ext cx="3456714" cy="7770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marL="0" indent="0" algn="l"/>
          <a:fld id="{71FD9B81-1BD2-4782-9249-CEE8AEF16726}" type="TxLink">
            <a:rPr lang="en-US" sz="12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l"/>
            <a:t>of the population have raised blood sugar* or are currently on medication for diabetes</a:t>
          </a:fld>
          <a:endParaRPr lang="en-US" sz="12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2</xdr:col>
      <xdr:colOff>502235</xdr:colOff>
      <xdr:row>17</xdr:row>
      <xdr:rowOff>61190</xdr:rowOff>
    </xdr:from>
    <xdr:ext cx="2736268" cy="1410855"/>
    <xdr:sp macro="" textlink="data!A76">
      <xdr:nvSpPr>
        <xdr:cNvPr id="26" name="TextBox 25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SpPr txBox="1"/>
      </xdr:nvSpPr>
      <xdr:spPr>
        <a:xfrm>
          <a:off x="1939644" y="3299690"/>
          <a:ext cx="2736268" cy="141085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B3255D5E-7599-459F-BF22-B2C0B8BE44ED}" type="TxLink">
            <a:rPr lang="en-US" sz="11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l"/>
            <a:t>of the population have never had their blood sugar measured</a:t>
          </a:fld>
          <a:endParaRPr lang="en-US" sz="12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1</xdr:col>
      <xdr:colOff>635006</xdr:colOff>
      <xdr:row>19</xdr:row>
      <xdr:rowOff>110837</xdr:rowOff>
    </xdr:from>
    <xdr:ext cx="560916" cy="465667"/>
    <xdr:sp macro="" textlink="data!B76">
      <xdr:nvSpPr>
        <xdr:cNvPr id="28" name="TextBox 27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SpPr txBox="1"/>
      </xdr:nvSpPr>
      <xdr:spPr>
        <a:xfrm>
          <a:off x="1353711" y="3730337"/>
          <a:ext cx="560916" cy="4656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FBD30383-FB42-45EB-9CB9-E409131B7EF9}" type="TxLink">
            <a:rPr lang="en-US" sz="15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l"/>
            <a:t>30%</a:t>
          </a:fld>
          <a:endParaRPr lang="en-US" sz="15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twoCellAnchor>
    <xdr:from>
      <xdr:col>0</xdr:col>
      <xdr:colOff>115454</xdr:colOff>
      <xdr:row>2</xdr:row>
      <xdr:rowOff>54841</xdr:rowOff>
    </xdr:from>
    <xdr:to>
      <xdr:col>6</xdr:col>
      <xdr:colOff>26554</xdr:colOff>
      <xdr:row>8</xdr:row>
      <xdr:rowOff>92942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7FFC2E6-379A-6942-85CA-2B7B979690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242454</xdr:colOff>
      <xdr:row>3</xdr:row>
      <xdr:rowOff>57726</xdr:rowOff>
    </xdr:from>
    <xdr:to>
      <xdr:col>5</xdr:col>
      <xdr:colOff>242455</xdr:colOff>
      <xdr:row>7</xdr:row>
      <xdr:rowOff>132773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2454" y="629226"/>
          <a:ext cx="3593524" cy="837047"/>
        </a:xfrm>
        <a:prstGeom prst="rect">
          <a:avLst/>
        </a:prstGeom>
      </xdr:spPr>
    </xdr:pic>
    <xdr:clientData/>
  </xdr:twoCellAnchor>
  <xdr:oneCellAnchor>
    <xdr:from>
      <xdr:col>1</xdr:col>
      <xdr:colOff>34633</xdr:colOff>
      <xdr:row>12</xdr:row>
      <xdr:rowOff>155864</xdr:rowOff>
    </xdr:from>
    <xdr:ext cx="849923" cy="473861"/>
    <xdr:sp macro="" textlink="data!A67">
      <xdr:nvSpPr>
        <xdr:cNvPr id="5" name="TextBox 4">
          <a:extLst>
            <a:ext uri="{FF2B5EF4-FFF2-40B4-BE49-F238E27FC236}">
              <a16:creationId xmlns:a16="http://schemas.microsoft.com/office/drawing/2014/main" id="{68CDFE76-1180-4C29-940E-DEA1A04B658C}"/>
            </a:ext>
          </a:extLst>
        </xdr:cNvPr>
        <xdr:cNvSpPr txBox="1"/>
      </xdr:nvSpPr>
      <xdr:spPr>
        <a:xfrm>
          <a:off x="753338" y="2441864"/>
          <a:ext cx="849923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r"/>
          <a:fld id="{F379499D-9684-3C47-A23A-164BDD5D5B21}" type="TxLink">
            <a:rPr lang="en-US" sz="12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r"/>
            <a:t>Of those …</a:t>
          </a:fld>
          <a:endParaRPr lang="en-US" sz="12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3</xdr:col>
      <xdr:colOff>360273</xdr:colOff>
      <xdr:row>12</xdr:row>
      <xdr:rowOff>121227</xdr:rowOff>
    </xdr:from>
    <xdr:ext cx="2341359" cy="648100"/>
    <xdr:sp macro="" textlink="data!A75">
      <xdr:nvSpPr>
        <xdr:cNvPr id="7" name="TextBox 6">
          <a:extLst>
            <a:ext uri="{FF2B5EF4-FFF2-40B4-BE49-F238E27FC236}">
              <a16:creationId xmlns:a16="http://schemas.microsoft.com/office/drawing/2014/main" id="{C4438CE0-3B0C-4A5A-A3FF-2D9D875F4FBF}"/>
            </a:ext>
          </a:extLst>
        </xdr:cNvPr>
        <xdr:cNvSpPr txBox="1"/>
      </xdr:nvSpPr>
      <xdr:spPr>
        <a:xfrm>
          <a:off x="2516387" y="2407227"/>
          <a:ext cx="2341359" cy="6481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25B42A4A-F96C-4265-8D9D-E1EC3DCF3EA0}" type="TxLink">
            <a:rPr lang="en-US" sz="11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l"/>
            <a:t>are currently receiving treatment</a:t>
          </a:fld>
          <a:endParaRPr lang="en-US" sz="12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twoCellAnchor>
    <xdr:from>
      <xdr:col>2</xdr:col>
      <xdr:colOff>294405</xdr:colOff>
      <xdr:row>11</xdr:row>
      <xdr:rowOff>86591</xdr:rowOff>
    </xdr:from>
    <xdr:to>
      <xdr:col>3</xdr:col>
      <xdr:colOff>312579</xdr:colOff>
      <xdr:row>16</xdr:row>
      <xdr:rowOff>125668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CCDC0CB-9830-4838-906D-2FCD8FB13A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2</xdr:col>
      <xdr:colOff>404310</xdr:colOff>
      <xdr:row>13</xdr:row>
      <xdr:rowOff>35303</xdr:rowOff>
    </xdr:from>
    <xdr:ext cx="471714" cy="418647"/>
    <xdr:sp macro="" textlink="data!B75">
      <xdr:nvSpPr>
        <xdr:cNvPr id="11" name="TextBox 10">
          <a:extLst>
            <a:ext uri="{FF2B5EF4-FFF2-40B4-BE49-F238E27FC236}">
              <a16:creationId xmlns:a16="http://schemas.microsoft.com/office/drawing/2014/main" id="{885E894E-A049-466B-AE62-738ACD60B76E}"/>
            </a:ext>
          </a:extLst>
        </xdr:cNvPr>
        <xdr:cNvSpPr txBox="1"/>
      </xdr:nvSpPr>
      <xdr:spPr>
        <a:xfrm>
          <a:off x="1841719" y="2511803"/>
          <a:ext cx="471714" cy="41864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98B482E0-3D5A-4AE6-A6B2-CADE28FB9B47}" type="TxLink">
            <a:rPr lang="en-US" sz="15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53%</a:t>
          </a:fld>
          <a:endParaRPr lang="en-US" sz="15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0</xdr:col>
      <xdr:colOff>95251</xdr:colOff>
      <xdr:row>25</xdr:row>
      <xdr:rowOff>181840</xdr:rowOff>
    </xdr:from>
    <xdr:ext cx="1039090" cy="164524"/>
    <xdr:sp macro="" textlink="data!A77">
      <xdr:nvSpPr>
        <xdr:cNvPr id="12" name="TextBox 11">
          <a:extLst>
            <a:ext uri="{FF2B5EF4-FFF2-40B4-BE49-F238E27FC236}">
              <a16:creationId xmlns:a16="http://schemas.microsoft.com/office/drawing/2014/main" id="{14E52D4B-7459-46A9-A50F-54F543020684}"/>
            </a:ext>
          </a:extLst>
        </xdr:cNvPr>
        <xdr:cNvSpPr txBox="1"/>
      </xdr:nvSpPr>
      <xdr:spPr>
        <a:xfrm>
          <a:off x="95251" y="5022272"/>
          <a:ext cx="1039090" cy="16452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marL="0" indent="0" algn="l"/>
          <a:fld id="{1B71B877-7B5A-4486-90E6-CBF45A3221C2}" type="TxLink">
            <a:rPr lang="en-US" sz="900" b="0" i="1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l"/>
            <a:t>* ≥ 126 mg/dl</a:t>
          </a:fld>
          <a:endParaRPr lang="en-US" sz="900" b="1" i="1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</xdr:wsDr>
</file>

<file path=xl/drawings/drawing34.xml><?xml version="1.0" encoding="utf-8"?>
<c:userShapes xmlns:c="http://schemas.openxmlformats.org/drawingml/2006/chart"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</xdr:row>
      <xdr:rowOff>182217</xdr:rowOff>
    </xdr:from>
    <xdr:to>
      <xdr:col>2</xdr:col>
      <xdr:colOff>588064</xdr:colOff>
      <xdr:row>13</xdr:row>
      <xdr:rowOff>138054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8D15296F-FF93-478D-B7CB-CF6E8A8DA0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0</xdr:col>
      <xdr:colOff>713236</xdr:colOff>
      <xdr:row>5</xdr:row>
      <xdr:rowOff>95250</xdr:rowOff>
    </xdr:from>
    <xdr:ext cx="3231701" cy="473861"/>
    <xdr:sp macro="" textlink="data!A80">
      <xdr:nvSpPr>
        <xdr:cNvPr id="12" name="TextBox 11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SpPr txBox="1"/>
      </xdr:nvSpPr>
      <xdr:spPr>
        <a:xfrm>
          <a:off x="713236" y="1238250"/>
          <a:ext cx="3231701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60750F92-ADD8-0449-ADCA-445EA9AA83D7}" type="TxLink">
            <a:rPr lang="en-US" sz="11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l"/>
            <a:t>of the population have raised total cholesterol* or currently on medication for raised cholesterol</a:t>
          </a:fld>
          <a:endParaRPr lang="en-US" sz="11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0</xdr:col>
      <xdr:colOff>15875</xdr:colOff>
      <xdr:row>5</xdr:row>
      <xdr:rowOff>111125</xdr:rowOff>
    </xdr:from>
    <xdr:ext cx="611188" cy="412023"/>
    <xdr:sp macro="" textlink="data!B80">
      <xdr:nvSpPr>
        <xdr:cNvPr id="13" name="TextBox 12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SpPr txBox="1"/>
      </xdr:nvSpPr>
      <xdr:spPr>
        <a:xfrm>
          <a:off x="15875" y="1254125"/>
          <a:ext cx="611188" cy="4120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r"/>
          <a:fld id="{82ED953C-16EA-2E4E-8966-2A4498485867}" type="TxLink">
            <a:rPr lang="en-US" sz="15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r"/>
            <a:t>29%</a:t>
          </a:fld>
          <a:endParaRPr lang="en-US" sz="15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1</xdr:col>
      <xdr:colOff>409575</xdr:colOff>
      <xdr:row>10</xdr:row>
      <xdr:rowOff>74612</xdr:rowOff>
    </xdr:from>
    <xdr:ext cx="560916" cy="465667"/>
    <xdr:sp macro="" textlink="data!B81">
      <xdr:nvSpPr>
        <xdr:cNvPr id="38" name="TextBox 37">
          <a:extLst>
            <a:ext uri="{FF2B5EF4-FFF2-40B4-BE49-F238E27FC236}">
              <a16:creationId xmlns:a16="http://schemas.microsoft.com/office/drawing/2014/main" id="{00000000-0008-0000-0800-000026000000}"/>
            </a:ext>
          </a:extLst>
        </xdr:cNvPr>
        <xdr:cNvSpPr txBox="1"/>
      </xdr:nvSpPr>
      <xdr:spPr>
        <a:xfrm>
          <a:off x="1123950" y="2170112"/>
          <a:ext cx="560916" cy="4656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DF42D125-E7B9-44B4-A9DA-D591B4187A7F}" type="TxLink">
            <a:rPr lang="en-US" sz="15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l"/>
            <a:t>68%</a:t>
          </a:fld>
          <a:endParaRPr lang="en-US" sz="15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twoCellAnchor>
    <xdr:from>
      <xdr:col>0</xdr:col>
      <xdr:colOff>138549</xdr:colOff>
      <xdr:row>1</xdr:row>
      <xdr:rowOff>127002</xdr:rowOff>
    </xdr:from>
    <xdr:to>
      <xdr:col>4</xdr:col>
      <xdr:colOff>380041</xdr:colOff>
      <xdr:row>5</xdr:row>
      <xdr:rowOff>114496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00000000-0008-0000-0800-00002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230186</xdr:colOff>
      <xdr:row>2</xdr:row>
      <xdr:rowOff>68314</xdr:rowOff>
    </xdr:from>
    <xdr:to>
      <xdr:col>4</xdr:col>
      <xdr:colOff>7937</xdr:colOff>
      <xdr:row>5</xdr:row>
      <xdr:rowOff>25594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0186" y="639814"/>
          <a:ext cx="2626968" cy="528780"/>
        </a:xfrm>
        <a:prstGeom prst="rect">
          <a:avLst/>
        </a:prstGeom>
      </xdr:spPr>
    </xdr:pic>
    <xdr:clientData/>
  </xdr:twoCellAnchor>
  <xdr:oneCellAnchor>
    <xdr:from>
      <xdr:col>5</xdr:col>
      <xdr:colOff>166687</xdr:colOff>
      <xdr:row>10</xdr:row>
      <xdr:rowOff>31750</xdr:rowOff>
    </xdr:from>
    <xdr:ext cx="560916" cy="465667"/>
    <xdr:sp macro="" textlink="data!B82">
      <xdr:nvSpPr>
        <xdr:cNvPr id="2" name="TextBox 1">
          <a:extLst>
            <a:ext uri="{FF2B5EF4-FFF2-40B4-BE49-F238E27FC236}">
              <a16:creationId xmlns:a16="http://schemas.microsoft.com/office/drawing/2014/main" id="{443B72F7-7C3C-4DBF-8519-E3408E6782D2}"/>
            </a:ext>
          </a:extLst>
        </xdr:cNvPr>
        <xdr:cNvSpPr txBox="1"/>
      </xdr:nvSpPr>
      <xdr:spPr>
        <a:xfrm>
          <a:off x="3738562" y="2127250"/>
          <a:ext cx="560916" cy="4656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79F36672-DA5D-4FB3-A0F5-F586477C0C16}" type="TxLink">
            <a:rPr lang="en-US" sz="15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l"/>
            <a:t>68%</a:t>
          </a:fld>
          <a:endParaRPr lang="en-US" sz="15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twoCellAnchor editAs="oneCell">
    <xdr:from>
      <xdr:col>0</xdr:col>
      <xdr:colOff>667440</xdr:colOff>
      <xdr:row>10</xdr:row>
      <xdr:rowOff>15184</xdr:rowOff>
    </xdr:from>
    <xdr:to>
      <xdr:col>1</xdr:col>
      <xdr:colOff>243807</xdr:colOff>
      <xdr:row>13</xdr:row>
      <xdr:rowOff>50352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CCE13EB-C008-4585-A976-6C9639F6557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3695"/>
        <a:stretch/>
      </xdr:blipFill>
      <xdr:spPr>
        <a:xfrm>
          <a:off x="667440" y="2110684"/>
          <a:ext cx="288671" cy="606668"/>
        </a:xfrm>
        <a:prstGeom prst="rect">
          <a:avLst/>
        </a:prstGeom>
      </xdr:spPr>
    </xdr:pic>
    <xdr:clientData/>
  </xdr:twoCellAnchor>
  <xdr:twoCellAnchor editAs="oneCell">
    <xdr:from>
      <xdr:col>4</xdr:col>
      <xdr:colOff>356153</xdr:colOff>
      <xdr:row>9</xdr:row>
      <xdr:rowOff>157370</xdr:rowOff>
    </xdr:from>
    <xdr:to>
      <xdr:col>4</xdr:col>
      <xdr:colOff>658727</xdr:colOff>
      <xdr:row>13</xdr:row>
      <xdr:rowOff>7899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DFB5B4A-5AF1-4B64-9FD8-9CDC56ED2E5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271"/>
        <a:stretch/>
      </xdr:blipFill>
      <xdr:spPr>
        <a:xfrm>
          <a:off x="3205370" y="2062370"/>
          <a:ext cx="302574" cy="612529"/>
        </a:xfrm>
        <a:prstGeom prst="rect">
          <a:avLst/>
        </a:prstGeom>
      </xdr:spPr>
    </xdr:pic>
    <xdr:clientData/>
  </xdr:twoCellAnchor>
  <xdr:twoCellAnchor>
    <xdr:from>
      <xdr:col>4</xdr:col>
      <xdr:colOff>472110</xdr:colOff>
      <xdr:row>8</xdr:row>
      <xdr:rowOff>140804</xdr:rowOff>
    </xdr:from>
    <xdr:to>
      <xdr:col>6</xdr:col>
      <xdr:colOff>347870</xdr:colOff>
      <xdr:row>13</xdr:row>
      <xdr:rowOff>96641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9B76B724-70F1-DD2E-2296-D849309ABF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oneCellAnchor>
    <xdr:from>
      <xdr:col>2</xdr:col>
      <xdr:colOff>277572</xdr:colOff>
      <xdr:row>9</xdr:row>
      <xdr:rowOff>131693</xdr:rowOff>
    </xdr:from>
    <xdr:ext cx="1205016" cy="795959"/>
    <xdr:sp macro="" textlink="data!A81">
      <xdr:nvSpPr>
        <xdr:cNvPr id="20" name="TextBox 19">
          <a:extLst>
            <a:ext uri="{FF2B5EF4-FFF2-40B4-BE49-F238E27FC236}">
              <a16:creationId xmlns:a16="http://schemas.microsoft.com/office/drawing/2014/main" id="{017B00CF-4145-4BFD-A6FD-ADC75EACEB2F}"/>
            </a:ext>
          </a:extLst>
        </xdr:cNvPr>
        <xdr:cNvSpPr txBox="1"/>
      </xdr:nvSpPr>
      <xdr:spPr>
        <a:xfrm>
          <a:off x="1702181" y="2036693"/>
          <a:ext cx="1205016" cy="79595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02582A93-FEAB-4FCA-809F-021CD1103DCF}" type="TxLink">
            <a:rPr lang="en-US" sz="11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l"/>
            <a:t>of men have low HDL** (good cholesterol)</a:t>
          </a:fld>
          <a:endParaRPr lang="en-US" sz="11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6</xdr:col>
      <xdr:colOff>50628</xdr:colOff>
      <xdr:row>9</xdr:row>
      <xdr:rowOff>53836</xdr:rowOff>
    </xdr:from>
    <xdr:ext cx="1205016" cy="795959"/>
    <xdr:sp macro="" textlink="data!A82">
      <xdr:nvSpPr>
        <xdr:cNvPr id="21" name="TextBox 20">
          <a:extLst>
            <a:ext uri="{FF2B5EF4-FFF2-40B4-BE49-F238E27FC236}">
              <a16:creationId xmlns:a16="http://schemas.microsoft.com/office/drawing/2014/main" id="{CDF0D78A-2F5F-4EF1-875B-69809B3D698F}"/>
            </a:ext>
          </a:extLst>
        </xdr:cNvPr>
        <xdr:cNvSpPr txBox="1"/>
      </xdr:nvSpPr>
      <xdr:spPr>
        <a:xfrm>
          <a:off x="4324454" y="1958836"/>
          <a:ext cx="1205016" cy="79595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C8AB4FAA-AE7A-4D2C-B8C3-B2BAF6C96007}" type="TxLink">
            <a:rPr lang="en-US" sz="11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l"/>
            <a:t>of women have low HDL*** (good cholesterol)</a:t>
          </a:fld>
          <a:endParaRPr lang="en-US" sz="11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0</xdr:col>
      <xdr:colOff>24847</xdr:colOff>
      <xdr:row>13</xdr:row>
      <xdr:rowOff>306457</xdr:rowOff>
    </xdr:from>
    <xdr:ext cx="902805" cy="171081"/>
    <xdr:sp macro="" textlink="data!A83">
      <xdr:nvSpPr>
        <xdr:cNvPr id="4" name="TextBox 3">
          <a:extLst>
            <a:ext uri="{FF2B5EF4-FFF2-40B4-BE49-F238E27FC236}">
              <a16:creationId xmlns:a16="http://schemas.microsoft.com/office/drawing/2014/main" id="{3D9C1A9C-E185-4FA9-8650-F7CB8DACF1FE}"/>
            </a:ext>
          </a:extLst>
        </xdr:cNvPr>
        <xdr:cNvSpPr txBox="1"/>
      </xdr:nvSpPr>
      <xdr:spPr>
        <a:xfrm>
          <a:off x="24847" y="2973457"/>
          <a:ext cx="902805" cy="17108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marL="0" indent="0" algn="l"/>
          <a:fld id="{F558A16F-C086-4835-8801-EF7C5D5E6251}" type="TxLink">
            <a:rPr lang="en-US" sz="900" b="0" i="1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l"/>
            <a:t>* ≥ 190 mg/dl </a:t>
          </a:fld>
          <a:endParaRPr lang="en-US" sz="900" b="1" i="1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1</xdr:col>
      <xdr:colOff>182221</xdr:colOff>
      <xdr:row>13</xdr:row>
      <xdr:rowOff>306457</xdr:rowOff>
    </xdr:from>
    <xdr:ext cx="902805" cy="171081"/>
    <xdr:sp macro="" textlink="data!A84">
      <xdr:nvSpPr>
        <xdr:cNvPr id="5" name="TextBox 4">
          <a:extLst>
            <a:ext uri="{FF2B5EF4-FFF2-40B4-BE49-F238E27FC236}">
              <a16:creationId xmlns:a16="http://schemas.microsoft.com/office/drawing/2014/main" id="{8A3EA781-E4B0-96CC-BB95-60A227A50A37}"/>
            </a:ext>
          </a:extLst>
        </xdr:cNvPr>
        <xdr:cNvSpPr txBox="1"/>
      </xdr:nvSpPr>
      <xdr:spPr>
        <a:xfrm>
          <a:off x="894525" y="2973457"/>
          <a:ext cx="902805" cy="17108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marL="0" indent="0" algn="l"/>
          <a:fld id="{EA8FD705-E18F-425A-B292-A27D75A499D9}" type="TxLink">
            <a:rPr lang="en-US" sz="900" b="0" i="1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l"/>
            <a:t>** &lt; 40 mg/d</a:t>
          </a:fld>
          <a:endParaRPr lang="en-US" sz="900" b="1" i="1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2</xdr:col>
      <xdr:colOff>351177</xdr:colOff>
      <xdr:row>13</xdr:row>
      <xdr:rowOff>309310</xdr:rowOff>
    </xdr:from>
    <xdr:ext cx="902805" cy="171081"/>
    <xdr:sp macro="" textlink="data!A85">
      <xdr:nvSpPr>
        <xdr:cNvPr id="6" name="TextBox 5">
          <a:extLst>
            <a:ext uri="{FF2B5EF4-FFF2-40B4-BE49-F238E27FC236}">
              <a16:creationId xmlns:a16="http://schemas.microsoft.com/office/drawing/2014/main" id="{20DCFEE4-5ADB-48EC-9E6C-2EE425894FA7}"/>
            </a:ext>
          </a:extLst>
        </xdr:cNvPr>
        <xdr:cNvSpPr txBox="1"/>
      </xdr:nvSpPr>
      <xdr:spPr>
        <a:xfrm>
          <a:off x="1775786" y="2976310"/>
          <a:ext cx="902805" cy="17108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marL="0" indent="0" algn="l"/>
          <a:fld id="{56EEFC6E-2FE7-4B21-960E-A79D060C54B6}" type="TxLink">
            <a:rPr lang="en-US" sz="900" b="0" i="1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l"/>
            <a:t>*** &lt; 50 mg/d</a:t>
          </a:fld>
          <a:endParaRPr lang="en-US" sz="900" b="1" i="1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</xdr:wsDr>
</file>

<file path=xl/drawings/drawing36.xml><?xml version="1.0" encoding="utf-8"?>
<c:userShapes xmlns:c="http://schemas.openxmlformats.org/drawingml/2006/chart"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37.xml><?xml version="1.0" encoding="utf-8"?>
<c:userShapes xmlns:c="http://schemas.openxmlformats.org/drawingml/2006/chart"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3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75045</xdr:colOff>
      <xdr:row>2</xdr:row>
      <xdr:rowOff>230908</xdr:rowOff>
    </xdr:from>
    <xdr:ext cx="773545" cy="473861"/>
    <xdr:sp macro="" textlink="data!B88">
      <xdr:nvSpPr>
        <xdr:cNvPr id="8" name="TextBox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 txBox="1"/>
      </xdr:nvSpPr>
      <xdr:spPr>
        <a:xfrm>
          <a:off x="75045" y="759113"/>
          <a:ext cx="773545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r"/>
          <a:fld id="{EEC2F517-8527-D242-91C6-433CB35FB88B}" type="TxLink">
            <a:rPr lang="en-US" sz="20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r"/>
            <a:t>7%</a:t>
          </a:fld>
          <a:endParaRPr lang="en-US" sz="20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1</xdr:col>
      <xdr:colOff>272204</xdr:colOff>
      <xdr:row>2</xdr:row>
      <xdr:rowOff>247472</xdr:rowOff>
    </xdr:from>
    <xdr:ext cx="3032238" cy="850900"/>
    <xdr:sp macro="" textlink="data!A88">
      <xdr:nvSpPr>
        <xdr:cNvPr id="10" name="TextBox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 txBox="1"/>
      </xdr:nvSpPr>
      <xdr:spPr>
        <a:xfrm>
          <a:off x="990242" y="775010"/>
          <a:ext cx="3032238" cy="8509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040E3F55-53A2-9A4E-9A7C-CC02EC5F83B6}" type="TxLink">
            <a:rPr lang="en-US" sz="1400" b="0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l"/>
            <a:t>of the population aged 40-69 years have a 10-year CVD risk ≥20% or have existing CVD</a:t>
          </a:fld>
          <a:endParaRPr lang="en-US" sz="1400" b="0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0</xdr:col>
      <xdr:colOff>275093</xdr:colOff>
      <xdr:row>7</xdr:row>
      <xdr:rowOff>241788</xdr:rowOff>
    </xdr:from>
    <xdr:ext cx="597477" cy="473861"/>
    <xdr:sp macro="" textlink="data!B90">
      <xdr:nvSpPr>
        <xdr:cNvPr id="11" name="TextBox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 txBox="1"/>
      </xdr:nvSpPr>
      <xdr:spPr>
        <a:xfrm>
          <a:off x="275093" y="2014903"/>
          <a:ext cx="597477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r"/>
          <a:fld id="{B6C347A6-E179-E942-AE19-B4B0CF4C1397}" type="TxLink">
            <a:rPr lang="en-US" sz="20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r"/>
            <a:t>63%</a:t>
          </a:fld>
          <a:endParaRPr lang="en-US" sz="20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1</xdr:col>
      <xdr:colOff>280865</xdr:colOff>
      <xdr:row>7</xdr:row>
      <xdr:rowOff>160570</xdr:rowOff>
    </xdr:from>
    <xdr:ext cx="3102840" cy="1026391"/>
    <xdr:sp macro="" textlink="data!A90">
      <xdr:nvSpPr>
        <xdr:cNvPr id="12" name="TextBox 1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 txBox="1"/>
      </xdr:nvSpPr>
      <xdr:spPr>
        <a:xfrm>
          <a:off x="998903" y="1933685"/>
          <a:ext cx="3102840" cy="10263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2577A8A8-9C4D-2D4A-80BD-B4E07A943E47}" type="TxLink">
            <a:rPr lang="en-US" sz="1400" b="0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l"/>
            <a:t>are receiving drug therapy and counselling to prevent heart attacks and strokes</a:t>
          </a:fld>
          <a:endParaRPr lang="en-US" sz="1400" b="0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1</xdr:col>
      <xdr:colOff>296188</xdr:colOff>
      <xdr:row>6</xdr:row>
      <xdr:rowOff>65943</xdr:rowOff>
    </xdr:from>
    <xdr:ext cx="868794" cy="439616"/>
    <xdr:sp macro="" textlink="data!A89">
      <xdr:nvSpPr>
        <xdr:cNvPr id="15" name="TextBox 14">
          <a:extLst>
            <a:ext uri="{FF2B5EF4-FFF2-40B4-BE49-F238E27FC236}">
              <a16:creationId xmlns:a16="http://schemas.microsoft.com/office/drawing/2014/main" id="{BCD5EB83-D02F-43AB-8D87-07A079D9DD71}"/>
            </a:ext>
          </a:extLst>
        </xdr:cNvPr>
        <xdr:cNvSpPr txBox="1"/>
      </xdr:nvSpPr>
      <xdr:spPr>
        <a:xfrm>
          <a:off x="1014226" y="1589943"/>
          <a:ext cx="868794" cy="43961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B06371FA-52B5-48C6-9676-889607BD292B}" type="TxLink">
            <a:rPr lang="en-US" sz="1200" b="0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l"/>
            <a:t>of which</a:t>
          </a:fld>
          <a:endParaRPr lang="en-US" sz="1200" b="0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twoCellAnchor editAs="oneCell">
    <xdr:from>
      <xdr:col>5</xdr:col>
      <xdr:colOff>487647</xdr:colOff>
      <xdr:row>2</xdr:row>
      <xdr:rowOff>175846</xdr:rowOff>
    </xdr:from>
    <xdr:to>
      <xdr:col>7</xdr:col>
      <xdr:colOff>183173</xdr:colOff>
      <xdr:row>6</xdr:row>
      <xdr:rowOff>197827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EB585672-6D49-52B6-EF5A-315A55C37B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77839" y="703384"/>
          <a:ext cx="1131603" cy="1018443"/>
        </a:xfrm>
        <a:prstGeom prst="rect">
          <a:avLst/>
        </a:prstGeom>
      </xdr:spPr>
    </xdr:pic>
    <xdr:clientData/>
  </xdr:twoCellAnchor>
  <xdr:twoCellAnchor editAs="oneCell">
    <xdr:from>
      <xdr:col>5</xdr:col>
      <xdr:colOff>571500</xdr:colOff>
      <xdr:row>7</xdr:row>
      <xdr:rowOff>217580</xdr:rowOff>
    </xdr:from>
    <xdr:to>
      <xdr:col>7</xdr:col>
      <xdr:colOff>51289</xdr:colOff>
      <xdr:row>11</xdr:row>
      <xdr:rowOff>120162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246FEA83-3BB0-2D72-E2F0-AF439CF905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61692" y="1990695"/>
          <a:ext cx="915866" cy="899044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441615</xdr:colOff>
      <xdr:row>4</xdr:row>
      <xdr:rowOff>117764</xdr:rowOff>
    </xdr:from>
    <xdr:ext cx="960006" cy="673100"/>
    <xdr:sp macro="" textlink="data!B94">
      <xdr:nvSpPr>
        <xdr:cNvPr id="3" name="TextBox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649433" y="1381991"/>
          <a:ext cx="960006" cy="6731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b">
          <a:noAutofit/>
        </a:bodyPr>
        <a:lstStyle/>
        <a:p>
          <a:pPr marL="0" indent="0" algn="ctr"/>
          <a:fld id="{ABD3028B-4305-2D4B-9093-BC2599A5313A}" type="TxLink">
            <a:rPr lang="en-US" sz="24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10%</a:t>
          </a:fld>
          <a:endParaRPr lang="en-US" sz="24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1</xdr:col>
      <xdr:colOff>180685</xdr:colOff>
      <xdr:row>6</xdr:row>
      <xdr:rowOff>107373</xdr:rowOff>
    </xdr:from>
    <xdr:ext cx="1447224" cy="1009650"/>
    <xdr:sp macro="" textlink="data!A94">
      <xdr:nvSpPr>
        <xdr:cNvPr id="4" name="TextBox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 txBox="1"/>
      </xdr:nvSpPr>
      <xdr:spPr>
        <a:xfrm>
          <a:off x="388503" y="1873828"/>
          <a:ext cx="1447224" cy="1009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6139AB26-B3D2-B845-BE71-5930DB53C6CE}" type="TxLink">
            <a:rPr lang="en-US" sz="13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were advised to quit smoking or not start</a:t>
          </a:fld>
          <a:endParaRPr lang="en-US" sz="13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5</xdr:col>
      <xdr:colOff>553050</xdr:colOff>
      <xdr:row>5</xdr:row>
      <xdr:rowOff>64709</xdr:rowOff>
    </xdr:from>
    <xdr:ext cx="749300" cy="473861"/>
    <xdr:sp macro="" textlink="data!B95">
      <xdr:nvSpPr>
        <xdr:cNvPr id="7" name="TextBox 6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3609333" y="1472752"/>
          <a:ext cx="749300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r"/>
          <a:fld id="{582CBAB2-E27D-0945-9130-FEE11C7419D8}" type="TxLink">
            <a:rPr lang="en-US" sz="24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r"/>
            <a:t>22%</a:t>
          </a:fld>
          <a:endParaRPr lang="en-US" sz="24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5</xdr:col>
      <xdr:colOff>129910</xdr:colOff>
      <xdr:row>7</xdr:row>
      <xdr:rowOff>45077</xdr:rowOff>
    </xdr:from>
    <xdr:ext cx="1678709" cy="922483"/>
    <xdr:sp macro="" textlink="data!A95">
      <xdr:nvSpPr>
        <xdr:cNvPr id="8" name="TextBox 7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SpPr txBox="1"/>
      </xdr:nvSpPr>
      <xdr:spPr>
        <a:xfrm>
          <a:off x="3186193" y="1950077"/>
          <a:ext cx="1678709" cy="9224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marL="0" indent="0" algn="ctr"/>
          <a:fld id="{A3A2404C-BF5A-A241-88AF-8FE0AC97064E}" type="TxLink">
            <a:rPr lang="en-US" sz="13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were advised to lower the salt content in their food</a:t>
          </a:fld>
          <a:endParaRPr lang="en-US" sz="13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1</xdr:col>
      <xdr:colOff>514824</xdr:colOff>
      <xdr:row>14</xdr:row>
      <xdr:rowOff>157425</xdr:rowOff>
    </xdr:from>
    <xdr:ext cx="749300" cy="473861"/>
    <xdr:sp macro="" textlink="data!B96">
      <xdr:nvSpPr>
        <xdr:cNvPr id="12" name="TextBox 11"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SpPr txBox="1"/>
      </xdr:nvSpPr>
      <xdr:spPr>
        <a:xfrm>
          <a:off x="721889" y="3801773"/>
          <a:ext cx="749300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D5DA3792-ED8D-114D-95DB-48D9394604E7}" type="TxLink">
            <a:rPr lang="en-US" sz="24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l"/>
            <a:t>26%</a:t>
          </a:fld>
          <a:endParaRPr lang="en-US" sz="24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0</xdr:col>
      <xdr:colOff>119064</xdr:colOff>
      <xdr:row>16</xdr:row>
      <xdr:rowOff>96809</xdr:rowOff>
    </xdr:from>
    <xdr:ext cx="1883064" cy="955081"/>
    <xdr:sp macro="" textlink="data!A96">
      <xdr:nvSpPr>
        <xdr:cNvPr id="13" name="TextBox 12">
          <a:extLst>
            <a:ext uri="{FF2B5EF4-FFF2-40B4-BE49-F238E27FC236}">
              <a16:creationId xmlns:a16="http://schemas.microsoft.com/office/drawing/2014/main" id="{00000000-0008-0000-0A00-00000D000000}"/>
            </a:ext>
          </a:extLst>
        </xdr:cNvPr>
        <xdr:cNvSpPr txBox="1"/>
      </xdr:nvSpPr>
      <xdr:spPr>
        <a:xfrm>
          <a:off x="119064" y="4395483"/>
          <a:ext cx="1883064" cy="95508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marL="0" indent="0" algn="ctr"/>
          <a:fld id="{34B057B7-D0EC-E549-AC9C-077784B70FBB}" type="TxLink">
            <a:rPr lang="en-US" sz="13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were advised to eat at least five portions of fruit and vegetables a day</a:t>
          </a:fld>
          <a:endParaRPr lang="en-US" sz="13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5</xdr:col>
      <xdr:colOff>684896</xdr:colOff>
      <xdr:row>14</xdr:row>
      <xdr:rowOff>129409</xdr:rowOff>
    </xdr:from>
    <xdr:ext cx="749300" cy="473861"/>
    <xdr:sp macro="" textlink="data!B97">
      <xdr:nvSpPr>
        <xdr:cNvPr id="14" name="TextBox 13">
          <a:extLst>
            <a:ext uri="{FF2B5EF4-FFF2-40B4-BE49-F238E27FC236}">
              <a16:creationId xmlns:a16="http://schemas.microsoft.com/office/drawing/2014/main" id="{00000000-0008-0000-0A00-00000E000000}"/>
            </a:ext>
          </a:extLst>
        </xdr:cNvPr>
        <xdr:cNvSpPr txBox="1"/>
      </xdr:nvSpPr>
      <xdr:spPr>
        <a:xfrm>
          <a:off x="3741179" y="3773757"/>
          <a:ext cx="749300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4CCC5D31-6BA0-8B4B-A098-FFE992B99521}" type="TxLink">
            <a:rPr lang="en-US" sz="24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27%</a:t>
          </a:fld>
          <a:endParaRPr lang="en-US" sz="24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5</xdr:col>
      <xdr:colOff>81974</xdr:colOff>
      <xdr:row>16</xdr:row>
      <xdr:rowOff>97409</xdr:rowOff>
    </xdr:from>
    <xdr:ext cx="1944254" cy="922482"/>
    <xdr:sp macro="" textlink="data!A97">
      <xdr:nvSpPr>
        <xdr:cNvPr id="15" name="TextBox 14">
          <a:extLst>
            <a:ext uri="{FF2B5EF4-FFF2-40B4-BE49-F238E27FC236}">
              <a16:creationId xmlns:a16="http://schemas.microsoft.com/office/drawing/2014/main" id="{00000000-0008-0000-0A00-00000F000000}"/>
            </a:ext>
          </a:extLst>
        </xdr:cNvPr>
        <xdr:cNvSpPr txBox="1"/>
      </xdr:nvSpPr>
      <xdr:spPr>
        <a:xfrm>
          <a:off x="3138257" y="4238713"/>
          <a:ext cx="1944254" cy="92248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marL="0" indent="0" algn="ctr"/>
          <a:fld id="{E369AB24-3E7F-C34F-8A10-DC1E32EEC4B8}" type="TxLink">
            <a:rPr lang="en-US" sz="13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were advised to reduce fat in their diet</a:t>
          </a:fld>
          <a:endParaRPr lang="en-US" sz="13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1</xdr:col>
      <xdr:colOff>411417</xdr:colOff>
      <xdr:row>23</xdr:row>
      <xdr:rowOff>239441</xdr:rowOff>
    </xdr:from>
    <xdr:ext cx="722169" cy="562841"/>
    <xdr:sp macro="" textlink="data!B98">
      <xdr:nvSpPr>
        <xdr:cNvPr id="19" name="TextBox 18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SpPr txBox="1"/>
      </xdr:nvSpPr>
      <xdr:spPr>
        <a:xfrm>
          <a:off x="618482" y="6368571"/>
          <a:ext cx="722169" cy="5628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b">
          <a:noAutofit/>
        </a:bodyPr>
        <a:lstStyle/>
        <a:p>
          <a:pPr marL="0" indent="0" algn="ctr"/>
          <a:fld id="{583F3F87-38D8-F945-B027-ADEC898D0B72}" type="TxLink">
            <a:rPr lang="en-US" sz="24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30%</a:t>
          </a:fld>
          <a:endParaRPr lang="en-US" sz="24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1</xdr:col>
      <xdr:colOff>28539</xdr:colOff>
      <xdr:row>26</xdr:row>
      <xdr:rowOff>20745</xdr:rowOff>
    </xdr:from>
    <xdr:ext cx="1440872" cy="1026628"/>
    <xdr:sp macro="" textlink="data!A98">
      <xdr:nvSpPr>
        <xdr:cNvPr id="20" name="TextBox 19">
          <a:extLst>
            <a:ext uri="{FF2B5EF4-FFF2-40B4-BE49-F238E27FC236}">
              <a16:creationId xmlns:a16="http://schemas.microsoft.com/office/drawing/2014/main" id="{00000000-0008-0000-0A00-000014000000}"/>
            </a:ext>
          </a:extLst>
        </xdr:cNvPr>
        <xdr:cNvSpPr txBox="1"/>
      </xdr:nvSpPr>
      <xdr:spPr>
        <a:xfrm>
          <a:off x="235604" y="6895310"/>
          <a:ext cx="1440872" cy="102662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marL="0" indent="0" algn="ctr"/>
          <a:fld id="{3A40328B-FD7C-AE4E-8247-4882046D45F7}" type="TxLink">
            <a:rPr lang="en-US" sz="13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were advised to do more physical activity</a:t>
          </a:fld>
          <a:endParaRPr lang="en-US" sz="13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5</xdr:col>
      <xdr:colOff>603532</xdr:colOff>
      <xdr:row>23</xdr:row>
      <xdr:rowOff>223631</xdr:rowOff>
    </xdr:from>
    <xdr:ext cx="847053" cy="562840"/>
    <xdr:sp macro="" textlink="data!B99">
      <xdr:nvSpPr>
        <xdr:cNvPr id="25" name="TextBox 24">
          <a:extLst>
            <a:ext uri="{FF2B5EF4-FFF2-40B4-BE49-F238E27FC236}">
              <a16:creationId xmlns:a16="http://schemas.microsoft.com/office/drawing/2014/main" id="{00000000-0008-0000-0A00-000019000000}"/>
            </a:ext>
          </a:extLst>
        </xdr:cNvPr>
        <xdr:cNvSpPr txBox="1"/>
      </xdr:nvSpPr>
      <xdr:spPr>
        <a:xfrm>
          <a:off x="3659815" y="6352761"/>
          <a:ext cx="847053" cy="5628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b">
          <a:noAutofit/>
        </a:bodyPr>
        <a:lstStyle/>
        <a:p>
          <a:pPr marL="0" indent="0" algn="ctr"/>
          <a:fld id="{5A28B767-5058-0D4A-ABDA-8193AB27B358}" type="TxLink">
            <a:rPr lang="en-US" sz="24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28%</a:t>
          </a:fld>
          <a:endParaRPr lang="en-US" sz="24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5</xdr:col>
      <xdr:colOff>256760</xdr:colOff>
      <xdr:row>26</xdr:row>
      <xdr:rowOff>16941</xdr:rowOff>
    </xdr:from>
    <xdr:ext cx="1489363" cy="1001819"/>
    <xdr:sp macro="" textlink="data!A99">
      <xdr:nvSpPr>
        <xdr:cNvPr id="26" name="TextBox 25">
          <a:extLst>
            <a:ext uri="{FF2B5EF4-FFF2-40B4-BE49-F238E27FC236}">
              <a16:creationId xmlns:a16="http://schemas.microsoft.com/office/drawing/2014/main" id="{00000000-0008-0000-0A00-00001A000000}"/>
            </a:ext>
          </a:extLst>
        </xdr:cNvPr>
        <xdr:cNvSpPr txBox="1"/>
      </xdr:nvSpPr>
      <xdr:spPr>
        <a:xfrm>
          <a:off x="3313043" y="6800398"/>
          <a:ext cx="1489363" cy="10018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marL="0" indent="0" algn="ctr"/>
          <a:fld id="{6FA90B45-8DC2-F840-8D56-E7745ACCA1C2}" type="TxLink">
            <a:rPr lang="en-US" sz="13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were advised to maintain healthy weight/lose weight</a:t>
          </a:fld>
          <a:endParaRPr lang="en-US" sz="13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3</xdr:col>
      <xdr:colOff>513756</xdr:colOff>
      <xdr:row>34</xdr:row>
      <xdr:rowOff>11292</xdr:rowOff>
    </xdr:from>
    <xdr:ext cx="725248" cy="545522"/>
    <xdr:sp macro="" textlink="data!B100">
      <xdr:nvSpPr>
        <xdr:cNvPr id="28" name="TextBox 27">
          <a:extLst>
            <a:ext uri="{FF2B5EF4-FFF2-40B4-BE49-F238E27FC236}">
              <a16:creationId xmlns:a16="http://schemas.microsoft.com/office/drawing/2014/main" id="{00000000-0008-0000-0A00-00001C000000}"/>
            </a:ext>
          </a:extLst>
        </xdr:cNvPr>
        <xdr:cNvSpPr txBox="1"/>
      </xdr:nvSpPr>
      <xdr:spPr>
        <a:xfrm>
          <a:off x="2145430" y="8873683"/>
          <a:ext cx="725248" cy="54552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b">
          <a:noAutofit/>
        </a:bodyPr>
        <a:lstStyle/>
        <a:p>
          <a:pPr marL="0" indent="0" algn="ctr"/>
          <a:fld id="{34FC18D0-3142-6E47-8EDA-F817EA925CFB}" type="TxLink">
            <a:rPr lang="en-US" sz="24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28%</a:t>
          </a:fld>
          <a:endParaRPr lang="en-US" sz="24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2</xdr:col>
      <xdr:colOff>592434</xdr:colOff>
      <xdr:row>35</xdr:row>
      <xdr:rowOff>225132</xdr:rowOff>
    </xdr:from>
    <xdr:ext cx="1933763" cy="857251"/>
    <xdr:sp macro="" textlink="data!A100">
      <xdr:nvSpPr>
        <xdr:cNvPr id="29" name="TextBox 28">
          <a:extLst>
            <a:ext uri="{FF2B5EF4-FFF2-40B4-BE49-F238E27FC236}">
              <a16:creationId xmlns:a16="http://schemas.microsoft.com/office/drawing/2014/main" id="{00000000-0008-0000-0A00-00001D000000}"/>
            </a:ext>
          </a:extLst>
        </xdr:cNvPr>
        <xdr:cNvSpPr txBox="1"/>
      </xdr:nvSpPr>
      <xdr:spPr>
        <a:xfrm>
          <a:off x="1511804" y="9244893"/>
          <a:ext cx="1933763" cy="8572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6BCC4A2D-5826-7D4A-9267-021BEA2B64E0}" type="TxLink">
            <a:rPr lang="en-US" sz="13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were advised to reduce sugary beverages in their diet</a:t>
          </a:fld>
          <a:endParaRPr lang="en-US" sz="13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twoCellAnchor editAs="oneCell">
    <xdr:from>
      <xdr:col>1</xdr:col>
      <xdr:colOff>519545</xdr:colOff>
      <xdr:row>2</xdr:row>
      <xdr:rowOff>173181</xdr:rowOff>
    </xdr:from>
    <xdr:to>
      <xdr:col>2</xdr:col>
      <xdr:colOff>591186</xdr:colOff>
      <xdr:row>5</xdr:row>
      <xdr:rowOff>98104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BB243587-C316-4EE6-B28A-9E18FDEE53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7363" y="805295"/>
          <a:ext cx="790346" cy="808149"/>
        </a:xfrm>
        <a:prstGeom prst="rect">
          <a:avLst/>
        </a:prstGeom>
      </xdr:spPr>
    </xdr:pic>
    <xdr:clientData/>
  </xdr:twoCellAnchor>
  <xdr:twoCellAnchor editAs="oneCell">
    <xdr:from>
      <xdr:col>1</xdr:col>
      <xdr:colOff>397189</xdr:colOff>
      <xdr:row>20</xdr:row>
      <xdr:rowOff>199737</xdr:rowOff>
    </xdr:from>
    <xdr:to>
      <xdr:col>2</xdr:col>
      <xdr:colOff>596348</xdr:colOff>
      <xdr:row>24</xdr:row>
      <xdr:rowOff>189634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5E0C7405-52E9-613D-50A5-A6E0F9FDC5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4254" y="5682824"/>
          <a:ext cx="911464" cy="983810"/>
        </a:xfrm>
        <a:prstGeom prst="rect">
          <a:avLst/>
        </a:prstGeom>
      </xdr:spPr>
    </xdr:pic>
    <xdr:clientData/>
  </xdr:twoCellAnchor>
  <xdr:twoCellAnchor editAs="oneCell">
    <xdr:from>
      <xdr:col>5</xdr:col>
      <xdr:colOff>602522</xdr:colOff>
      <xdr:row>2</xdr:row>
      <xdr:rowOff>63621</xdr:rowOff>
    </xdr:from>
    <xdr:to>
      <xdr:col>7</xdr:col>
      <xdr:colOff>95089</xdr:colOff>
      <xdr:row>5</xdr:row>
      <xdr:rowOff>54681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116C4403-0526-4CE9-9F2F-265D07852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650020" flipH="1">
          <a:off x="3717333" y="663560"/>
          <a:ext cx="874286" cy="938636"/>
        </a:xfrm>
        <a:prstGeom prst="rect">
          <a:avLst/>
        </a:prstGeom>
      </xdr:spPr>
    </xdr:pic>
    <xdr:clientData/>
  </xdr:twoCellAnchor>
  <xdr:twoCellAnchor>
    <xdr:from>
      <xdr:col>0</xdr:col>
      <xdr:colOff>57978</xdr:colOff>
      <xdr:row>39</xdr:row>
      <xdr:rowOff>173935</xdr:rowOff>
    </xdr:from>
    <xdr:to>
      <xdr:col>7</xdr:col>
      <xdr:colOff>679173</xdr:colOff>
      <xdr:row>40</xdr:row>
      <xdr:rowOff>140804</xdr:rowOff>
    </xdr:to>
    <xdr:sp macro="" textlink="data!A93">
      <xdr:nvSpPr>
        <xdr:cNvPr id="34" name="TextBox 33">
          <a:extLst>
            <a:ext uri="{FF2B5EF4-FFF2-40B4-BE49-F238E27FC236}">
              <a16:creationId xmlns:a16="http://schemas.microsoft.com/office/drawing/2014/main" id="{3E26BA8E-EF06-EE3C-CA18-A5016E4CB962}"/>
            </a:ext>
          </a:extLst>
        </xdr:cNvPr>
        <xdr:cNvSpPr txBox="1"/>
      </xdr:nvSpPr>
      <xdr:spPr>
        <a:xfrm>
          <a:off x="57978" y="10278718"/>
          <a:ext cx="5110369" cy="2153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4AD0D3C6-B513-4270-A521-0E022E5BC56F}" type="TxLink">
            <a:rPr lang="en-US" sz="900" b="0" i="1" u="none" strike="noStrike" kern="1200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/>
            <a:t>* advice received in the past 12 months from a health worker, among the total population</a:t>
          </a:fld>
          <a:endParaRPr lang="en-GB" sz="900" i="1" kern="1200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twoCellAnchor>
  <xdr:twoCellAnchor editAs="oneCell">
    <xdr:from>
      <xdr:col>5</xdr:col>
      <xdr:colOff>430698</xdr:colOff>
      <xdr:row>20</xdr:row>
      <xdr:rowOff>149567</xdr:rowOff>
    </xdr:from>
    <xdr:to>
      <xdr:col>7</xdr:col>
      <xdr:colOff>157371</xdr:colOff>
      <xdr:row>24</xdr:row>
      <xdr:rowOff>115956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E779E5D6-552E-1BF1-F28D-7D52814742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86981" y="5632654"/>
          <a:ext cx="1159564" cy="96030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381000</xdr:colOff>
      <xdr:row>11</xdr:row>
      <xdr:rowOff>216309</xdr:rowOff>
    </xdr:from>
    <xdr:to>
      <xdr:col>2</xdr:col>
      <xdr:colOff>231912</xdr:colOff>
      <xdr:row>14</xdr:row>
      <xdr:rowOff>153643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5AD1746D-9827-E308-9FF6-DD3847FD68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8065" y="3214613"/>
          <a:ext cx="563217" cy="682768"/>
        </a:xfrm>
        <a:prstGeom prst="rect">
          <a:avLst/>
        </a:prstGeom>
      </xdr:spPr>
    </xdr:pic>
    <xdr:clientData/>
  </xdr:twoCellAnchor>
  <xdr:twoCellAnchor editAs="oneCell">
    <xdr:from>
      <xdr:col>2</xdr:col>
      <xdr:colOff>132521</xdr:colOff>
      <xdr:row>11</xdr:row>
      <xdr:rowOff>170384</xdr:rowOff>
    </xdr:from>
    <xdr:to>
      <xdr:col>3</xdr:col>
      <xdr:colOff>182217</xdr:colOff>
      <xdr:row>14</xdr:row>
      <xdr:rowOff>208721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285D3C84-22A0-ECB7-D99F-1FC6389D21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1891" y="3168688"/>
          <a:ext cx="762000" cy="783771"/>
        </a:xfrm>
        <a:prstGeom prst="rect">
          <a:avLst/>
        </a:prstGeom>
      </xdr:spPr>
    </xdr:pic>
    <xdr:clientData/>
  </xdr:twoCellAnchor>
  <xdr:twoCellAnchor editAs="oneCell">
    <xdr:from>
      <xdr:col>3</xdr:col>
      <xdr:colOff>468035</xdr:colOff>
      <xdr:row>29</xdr:row>
      <xdr:rowOff>33134</xdr:rowOff>
    </xdr:from>
    <xdr:to>
      <xdr:col>4</xdr:col>
      <xdr:colOff>538366</xdr:colOff>
      <xdr:row>34</xdr:row>
      <xdr:rowOff>167255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D28CDC3E-98A8-B044-C81A-6EEA453D5E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2099709" y="7653134"/>
          <a:ext cx="782635" cy="1376513"/>
        </a:xfrm>
        <a:prstGeom prst="rect">
          <a:avLst/>
        </a:prstGeom>
      </xdr:spPr>
    </xdr:pic>
    <xdr:clientData/>
  </xdr:twoCellAnchor>
  <xdr:twoCellAnchor editAs="oneCell">
    <xdr:from>
      <xdr:col>5</xdr:col>
      <xdr:colOff>596348</xdr:colOff>
      <xdr:row>10</xdr:row>
      <xdr:rowOff>221682</xdr:rowOff>
    </xdr:from>
    <xdr:to>
      <xdr:col>7</xdr:col>
      <xdr:colOff>74544</xdr:colOff>
      <xdr:row>14</xdr:row>
      <xdr:rowOff>165652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1E55F1EC-E009-E3C9-BA9E-A3008E2D6C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2631" y="2971508"/>
          <a:ext cx="911087" cy="937883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34634</xdr:colOff>
      <xdr:row>15</xdr:row>
      <xdr:rowOff>34636</xdr:rowOff>
    </xdr:from>
    <xdr:to>
      <xdr:col>7</xdr:col>
      <xdr:colOff>65805</xdr:colOff>
      <xdr:row>21</xdr:row>
      <xdr:rowOff>22513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93585AB-5EF4-4334-9653-452C8C29D9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188186</xdr:colOff>
      <xdr:row>2</xdr:row>
      <xdr:rowOff>25977</xdr:rowOff>
    </xdr:from>
    <xdr:to>
      <xdr:col>7</xdr:col>
      <xdr:colOff>406977</xdr:colOff>
      <xdr:row>6</xdr:row>
      <xdr:rowOff>154133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349823</xdr:colOff>
      <xdr:row>15</xdr:row>
      <xdr:rowOff>20781</xdr:rowOff>
    </xdr:from>
    <xdr:to>
      <xdr:col>4</xdr:col>
      <xdr:colOff>380995</xdr:colOff>
      <xdr:row>21</xdr:row>
      <xdr:rowOff>8658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55994</xdr:colOff>
      <xdr:row>9</xdr:row>
      <xdr:rowOff>111988</xdr:rowOff>
    </xdr:from>
    <xdr:to>
      <xdr:col>7</xdr:col>
      <xdr:colOff>372339</xdr:colOff>
      <xdr:row>15</xdr:row>
      <xdr:rowOff>25974</xdr:rowOff>
    </xdr:to>
    <xdr:sp macro="" textlink="">
      <xdr:nvSpPr>
        <xdr:cNvPr id="9" name="Rectangle: Rounded Corners 41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SpPr/>
      </xdr:nvSpPr>
      <xdr:spPr>
        <a:xfrm rot="5400000" flipH="1" flipV="1">
          <a:off x="1664276" y="1257297"/>
          <a:ext cx="1420668" cy="3909868"/>
        </a:xfrm>
        <a:prstGeom prst="roundRect">
          <a:avLst/>
        </a:prstGeom>
        <a:solidFill>
          <a:srgbClr val="3F6AA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1</xdr:col>
      <xdr:colOff>275932</xdr:colOff>
      <xdr:row>6</xdr:row>
      <xdr:rowOff>83133</xdr:rowOff>
    </xdr:from>
    <xdr:ext cx="749300" cy="473861"/>
    <xdr:sp macro="" textlink="data!B103">
      <xdr:nvSpPr>
        <xdr:cNvPr id="11" name="TextBox 10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SpPr txBox="1"/>
      </xdr:nvSpPr>
      <xdr:spPr>
        <a:xfrm>
          <a:off x="275932" y="1719701"/>
          <a:ext cx="749300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r"/>
          <a:fld id="{C345C324-6268-3E43-9C3F-3C4845FAA845}" type="TxLink">
            <a:rPr lang="en-US" sz="24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r"/>
            <a:t>29%</a:t>
          </a:fld>
          <a:endParaRPr lang="en-US" sz="24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3</xdr:col>
      <xdr:colOff>109677</xdr:colOff>
      <xdr:row>6</xdr:row>
      <xdr:rowOff>106798</xdr:rowOff>
    </xdr:from>
    <xdr:ext cx="3102845" cy="660400"/>
    <xdr:sp macro="" textlink="data!A103">
      <xdr:nvSpPr>
        <xdr:cNvPr id="12" name="TextBox 11">
          <a:extLst>
            <a:ext uri="{FF2B5EF4-FFF2-40B4-BE49-F238E27FC236}">
              <a16:creationId xmlns:a16="http://schemas.microsoft.com/office/drawing/2014/main" id="{00000000-0008-0000-0B00-00000C000000}"/>
            </a:ext>
          </a:extLst>
        </xdr:cNvPr>
        <xdr:cNvSpPr txBox="1"/>
      </xdr:nvSpPr>
      <xdr:spPr>
        <a:xfrm>
          <a:off x="1192063" y="1743366"/>
          <a:ext cx="3102845" cy="6604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1193E584-BE3D-F440-A459-4E0FCA97E136}" type="TxLink">
            <a:rPr lang="en-US" sz="1400" b="0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l"/>
            <a:t>of the population aged 18-69 years have 3 to 5 risk factors</a:t>
          </a:fld>
          <a:endParaRPr lang="en-US" sz="1400" b="0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2</xdr:col>
      <xdr:colOff>604399</xdr:colOff>
      <xdr:row>17</xdr:row>
      <xdr:rowOff>38680</xdr:rowOff>
    </xdr:from>
    <xdr:ext cx="749300" cy="473861"/>
    <xdr:sp macro="" textlink="data!B104">
      <xdr:nvSpPr>
        <xdr:cNvPr id="13" name="TextBox 12">
          <a:extLst>
            <a:ext uri="{FF2B5EF4-FFF2-40B4-BE49-F238E27FC236}">
              <a16:creationId xmlns:a16="http://schemas.microsoft.com/office/drawing/2014/main" id="{00000000-0008-0000-0B00-00000D000000}"/>
            </a:ext>
          </a:extLst>
        </xdr:cNvPr>
        <xdr:cNvSpPr txBox="1"/>
      </xdr:nvSpPr>
      <xdr:spPr>
        <a:xfrm>
          <a:off x="968081" y="4437498"/>
          <a:ext cx="749300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r"/>
          <a:fld id="{56C01F0D-5E05-694D-996F-9C3D9D84D5C9}" type="TxLink">
            <a:rPr lang="en-US" sz="24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r"/>
            <a:t>64%</a:t>
          </a:fld>
          <a:endParaRPr lang="en-US" sz="24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2</xdr:col>
      <xdr:colOff>229463</xdr:colOff>
      <xdr:row>20</xdr:row>
      <xdr:rowOff>122960</xdr:rowOff>
    </xdr:from>
    <xdr:ext cx="1536122" cy="881495"/>
    <xdr:sp macro="" textlink="data!A104">
      <xdr:nvSpPr>
        <xdr:cNvPr id="14" name="TextBox 13">
          <a:extLst>
            <a:ext uri="{FF2B5EF4-FFF2-40B4-BE49-F238E27FC236}">
              <a16:creationId xmlns:a16="http://schemas.microsoft.com/office/drawing/2014/main" id="{00000000-0008-0000-0B00-00000E000000}"/>
            </a:ext>
          </a:extLst>
        </xdr:cNvPr>
        <xdr:cNvSpPr txBox="1"/>
      </xdr:nvSpPr>
      <xdr:spPr>
        <a:xfrm>
          <a:off x="593145" y="5275119"/>
          <a:ext cx="1536122" cy="8814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marL="0" indent="0" algn="ctr"/>
          <a:fld id="{476CAD46-0BEB-0644-8470-B4802C5E707A}" type="TxLink">
            <a:rPr lang="en-US" sz="1400" b="0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of the population aged 18-69 years have 1 to 2 risk factors</a:t>
          </a:fld>
          <a:endParaRPr lang="en-US" sz="1400" b="0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5</xdr:col>
      <xdr:colOff>415635</xdr:colOff>
      <xdr:row>17</xdr:row>
      <xdr:rowOff>77932</xdr:rowOff>
    </xdr:from>
    <xdr:ext cx="502227" cy="448464"/>
    <xdr:sp macro="" textlink="data!B105">
      <xdr:nvSpPr>
        <xdr:cNvPr id="15" name="TextBox 14">
          <a:extLst>
            <a:ext uri="{FF2B5EF4-FFF2-40B4-BE49-F238E27FC236}">
              <a16:creationId xmlns:a16="http://schemas.microsoft.com/office/drawing/2014/main" id="{00000000-0008-0000-0B00-00000F000000}"/>
            </a:ext>
          </a:extLst>
        </xdr:cNvPr>
        <xdr:cNvSpPr txBox="1"/>
      </xdr:nvSpPr>
      <xdr:spPr>
        <a:xfrm>
          <a:off x="2935430" y="4476750"/>
          <a:ext cx="502227" cy="44846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r"/>
          <a:fld id="{C9233CC3-37C9-244A-82CB-C716DD92571A}" type="TxLink">
            <a:rPr lang="en-US" sz="24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r"/>
            <a:t>7%</a:t>
          </a:fld>
          <a:endParaRPr lang="en-US" sz="24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4</xdr:col>
      <xdr:colOff>640192</xdr:colOff>
      <xdr:row>20</xdr:row>
      <xdr:rowOff>76199</xdr:rowOff>
    </xdr:from>
    <xdr:ext cx="1611169" cy="928256"/>
    <xdr:sp macro="" textlink="data!A105">
      <xdr:nvSpPr>
        <xdr:cNvPr id="16" name="TextBox 15">
          <a:extLst>
            <a:ext uri="{FF2B5EF4-FFF2-40B4-BE49-F238E27FC236}">
              <a16:creationId xmlns:a16="http://schemas.microsoft.com/office/drawing/2014/main" id="{00000000-0008-0000-0B00-000010000000}"/>
            </a:ext>
          </a:extLst>
        </xdr:cNvPr>
        <xdr:cNvSpPr txBox="1"/>
      </xdr:nvSpPr>
      <xdr:spPr>
        <a:xfrm>
          <a:off x="2441283" y="5228358"/>
          <a:ext cx="1611169" cy="9282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pPr marL="0" indent="0" algn="ctr"/>
          <a:fld id="{E12D68CE-4298-A14B-917F-5690FE7619E1}" type="TxLink">
            <a:rPr lang="en-US" sz="1400" b="0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of the population aged 18-69 years have 0 risk factors</a:t>
          </a:fld>
          <a:endParaRPr lang="en-US" sz="1400" b="0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3</xdr:col>
      <xdr:colOff>242453</xdr:colOff>
      <xdr:row>9</xdr:row>
      <xdr:rowOff>245915</xdr:rowOff>
    </xdr:from>
    <xdr:ext cx="1261872" cy="473861"/>
    <xdr:sp macro="" textlink="data!B106">
      <xdr:nvSpPr>
        <xdr:cNvPr id="17" name="TextBox 16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SpPr txBox="1"/>
      </xdr:nvSpPr>
      <xdr:spPr>
        <a:xfrm>
          <a:off x="1324839" y="2635824"/>
          <a:ext cx="1261872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93757099-CC93-964A-BB68-E6249446C7DF}" type="TxLink">
            <a:rPr lang="en-US" sz="24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25%</a:t>
          </a:fld>
          <a:endParaRPr lang="en-US" sz="24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5</xdr:col>
      <xdr:colOff>242452</xdr:colOff>
      <xdr:row>10</xdr:row>
      <xdr:rowOff>13275</xdr:rowOff>
    </xdr:from>
    <xdr:ext cx="1261872" cy="473861"/>
    <xdr:sp macro="" textlink="data!B107">
      <xdr:nvSpPr>
        <xdr:cNvPr id="18" name="TextBox 17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SpPr txBox="1"/>
      </xdr:nvSpPr>
      <xdr:spPr>
        <a:xfrm>
          <a:off x="2762247" y="2654298"/>
          <a:ext cx="1261872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C1CB0C92-D1D2-DD49-A9D2-649E0817DA48}" type="TxLink">
            <a:rPr lang="en-US" sz="24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42%</a:t>
          </a:fld>
          <a:endParaRPr lang="en-US" sz="24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3</xdr:col>
      <xdr:colOff>166828</xdr:colOff>
      <xdr:row>11</xdr:row>
      <xdr:rowOff>242452</xdr:rowOff>
    </xdr:from>
    <xdr:ext cx="1257300" cy="660400"/>
    <xdr:sp macro="" textlink="data!A106">
      <xdr:nvSpPr>
        <xdr:cNvPr id="19" name="TextBox 18">
          <a:extLst>
            <a:ext uri="{FF2B5EF4-FFF2-40B4-BE49-F238E27FC236}">
              <a16:creationId xmlns:a16="http://schemas.microsoft.com/office/drawing/2014/main" id="{00000000-0008-0000-0B00-000013000000}"/>
            </a:ext>
          </a:extLst>
        </xdr:cNvPr>
        <xdr:cNvSpPr txBox="1"/>
      </xdr:nvSpPr>
      <xdr:spPr>
        <a:xfrm>
          <a:off x="1249214" y="3134588"/>
          <a:ext cx="1257300" cy="6604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3BD51FF1-083D-FD4C-BA29-350670D0E4BE}" type="TxLink">
            <a:rPr lang="en-US" sz="12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of 18-44 year olds have 3 to 5 risk factors</a:t>
          </a:fld>
          <a:endParaRPr lang="en-US" sz="12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oneCellAnchor>
    <xdr:from>
      <xdr:col>5</xdr:col>
      <xdr:colOff>204932</xdr:colOff>
      <xdr:row>12</xdr:row>
      <xdr:rowOff>8657</xdr:rowOff>
    </xdr:from>
    <xdr:ext cx="1261872" cy="660400"/>
    <xdr:sp macro="" textlink="data!A107">
      <xdr:nvSpPr>
        <xdr:cNvPr id="20" name="TextBox 19">
          <a:extLst>
            <a:ext uri="{FF2B5EF4-FFF2-40B4-BE49-F238E27FC236}">
              <a16:creationId xmlns:a16="http://schemas.microsoft.com/office/drawing/2014/main" id="{00000000-0008-0000-0B00-000014000000}"/>
            </a:ext>
          </a:extLst>
        </xdr:cNvPr>
        <xdr:cNvSpPr txBox="1"/>
      </xdr:nvSpPr>
      <xdr:spPr>
        <a:xfrm>
          <a:off x="2724727" y="3151907"/>
          <a:ext cx="1261872" cy="6604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13534F4B-9DE8-6449-9947-DB82302657DC}" type="TxLink">
            <a:rPr lang="en-US" sz="1200" b="1" i="0" u="none" strike="noStrike">
              <a:solidFill>
                <a:schemeClr val="bg1"/>
              </a:solidFill>
              <a:latin typeface="Noto Sans" panose="020B0502040504020204" pitchFamily="34" charset="0"/>
              <a:ea typeface="Noto Sans" panose="020B0502040504020204" pitchFamily="34" charset="0"/>
              <a:cs typeface="Noto Sans" panose="020B0502040504020204" pitchFamily="34" charset="0"/>
            </a:rPr>
            <a:pPr marL="0" indent="0" algn="ctr"/>
            <a:t>of 45-69 year olds have 3 to 5 risk factors</a:t>
          </a:fld>
          <a:endParaRPr lang="en-US" sz="1200" b="1" i="0" u="none" strike="noStrike">
            <a:solidFill>
              <a:schemeClr val="bg1"/>
            </a:solidFill>
            <a:latin typeface="Noto Sans" panose="020B0502040504020204" pitchFamily="34" charset="0"/>
            <a:ea typeface="Noto Sans" panose="020B0502040504020204" pitchFamily="34" charset="0"/>
            <a:cs typeface="Noto Sans" panose="020B0502040504020204" pitchFamily="34" charset="0"/>
          </a:endParaRPr>
        </a:p>
      </xdr:txBody>
    </xdr:sp>
    <xdr:clientData/>
  </xdr:oneCellAnchor>
  <xdr:twoCellAnchor editAs="oneCell">
    <xdr:from>
      <xdr:col>2</xdr:col>
      <xdr:colOff>116898</xdr:colOff>
      <xdr:row>10</xdr:row>
      <xdr:rowOff>89567</xdr:rowOff>
    </xdr:from>
    <xdr:to>
      <xdr:col>3</xdr:col>
      <xdr:colOff>151534</xdr:colOff>
      <xdr:row>14</xdr:row>
      <xdr:rowOff>36725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r="55155"/>
        <a:stretch/>
      </xdr:blipFill>
      <xdr:spPr>
        <a:xfrm>
          <a:off x="480580" y="2730590"/>
          <a:ext cx="753340" cy="951612"/>
        </a:xfrm>
        <a:prstGeom prst="rect">
          <a:avLst/>
        </a:prstGeom>
      </xdr:spPr>
    </xdr:pic>
    <xdr:clientData/>
  </xdr:twoCellAnchor>
  <xdr:twoCellAnchor editAs="oneCell">
    <xdr:from>
      <xdr:col>2</xdr:col>
      <xdr:colOff>124110</xdr:colOff>
      <xdr:row>2</xdr:row>
      <xdr:rowOff>225140</xdr:rowOff>
    </xdr:from>
    <xdr:to>
      <xdr:col>6</xdr:col>
      <xdr:colOff>658087</xdr:colOff>
      <xdr:row>6</xdr:row>
      <xdr:rowOff>8660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87792" y="857254"/>
          <a:ext cx="3408795" cy="78797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DATA\R\GitHub%20current\STEPS_data_analysis\excel_templates\data_fromR.xlsx" TargetMode="External"/><Relationship Id="rId1" Type="http://schemas.openxmlformats.org/officeDocument/2006/relationships/externalLinkPath" Target="data_from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languages"/>
    </sheetNames>
    <sheetDataSet>
      <sheetData sheetId="0">
        <row r="2">
          <cell r="C2" t="str">
            <v>Tobacco Use</v>
          </cell>
        </row>
        <row r="3">
          <cell r="C3" t="str">
            <v>of the population are current smokers</v>
          </cell>
          <cell r="D3">
            <v>0.107647579325821</v>
          </cell>
        </row>
        <row r="4">
          <cell r="C4" t="str">
            <v>of men</v>
          </cell>
          <cell r="D4">
            <v>0.164356428207314</v>
          </cell>
        </row>
        <row r="5">
          <cell r="C5" t="str">
            <v>of women</v>
          </cell>
          <cell r="D5">
            <v>3.9214223396439804E-3</v>
          </cell>
        </row>
        <row r="6">
          <cell r="C6" t="str">
            <v>Among current smokers</v>
          </cell>
        </row>
        <row r="7">
          <cell r="C7" t="str">
            <v>smoke daily</v>
          </cell>
          <cell r="D7">
            <v>0.774292345562961</v>
          </cell>
        </row>
        <row r="8">
          <cell r="C8" t="str">
            <v>smoke manufactured cigarettes</v>
          </cell>
          <cell r="D8">
            <v>0.82515702352568698</v>
          </cell>
        </row>
        <row r="9">
          <cell r="C9" t="str">
            <v>smoke hand-rolled cigarettes</v>
          </cell>
          <cell r="D9">
            <v>0.15418665007707899</v>
          </cell>
        </row>
        <row r="10">
          <cell r="C10" t="str">
            <v>smoke cigars, cheroots or cigarillos</v>
          </cell>
          <cell r="D10">
            <v>9.5096432821885707E-2</v>
          </cell>
        </row>
        <row r="11">
          <cell r="C11" t="str">
            <v>smoke pipes</v>
          </cell>
          <cell r="D11">
            <v>0.15843615169165201</v>
          </cell>
        </row>
        <row r="12">
          <cell r="C12" t="str">
            <v>smoke shisha</v>
          </cell>
          <cell r="D12">
            <v>0.15247961852986699</v>
          </cell>
        </row>
        <row r="13">
          <cell r="C13" t="str">
            <v>have tried to stop smoking during the past 12 months</v>
          </cell>
          <cell r="D13">
            <v>0.41549284252940599</v>
          </cell>
        </row>
        <row r="14">
          <cell r="C14" t="str">
            <v xml:space="preserve">have been advised by a health care professional to stop smoking </v>
          </cell>
          <cell r="D14">
            <v>0.35521875596033697</v>
          </cell>
        </row>
        <row r="15">
          <cell r="C15" t="str">
            <v>of the population are current smokeless users</v>
          </cell>
          <cell r="D15">
            <v>1.2447157214614901E-2</v>
          </cell>
        </row>
        <row r="16">
          <cell r="C16" t="str">
            <v>of the population currently use any tobacco products</v>
          </cell>
          <cell r="D16">
            <v>0.11498828540660599</v>
          </cell>
        </row>
        <row r="18">
          <cell r="C18" t="str">
            <v>Alcohol Use</v>
          </cell>
        </row>
        <row r="19">
          <cell r="C19" t="str">
            <v>of the population are current drinkers</v>
          </cell>
          <cell r="D19">
            <v>1.4477027660706999E-2</v>
          </cell>
        </row>
        <row r="20">
          <cell r="C20" t="str">
            <v>of men</v>
          </cell>
          <cell r="D20">
            <v>2.0592588741272101E-2</v>
          </cell>
        </row>
        <row r="21">
          <cell r="C21" t="str">
            <v>of women</v>
          </cell>
          <cell r="D21">
            <v>3.2910537951909499E-3</v>
          </cell>
        </row>
        <row r="22">
          <cell r="C22" t="str">
            <v>of 18-44 years</v>
          </cell>
          <cell r="D22">
            <v>1.5221667008201401E-2</v>
          </cell>
        </row>
        <row r="23">
          <cell r="C23" t="str">
            <v>of 45-69 years</v>
          </cell>
          <cell r="D23">
            <v>1.59929510618744E-2</v>
          </cell>
        </row>
        <row r="24">
          <cell r="C24" t="str">
            <v>are current drinkers</v>
          </cell>
        </row>
        <row r="25">
          <cell r="C25" t="str">
            <v>of the population are lifetime abstainers</v>
          </cell>
          <cell r="D25">
            <v>0.96305316948442699</v>
          </cell>
        </row>
        <row r="26">
          <cell r="C26" t="str">
            <v>Heavy episodic drinking</v>
          </cell>
        </row>
        <row r="27">
          <cell r="C27" t="str">
            <v>of the population consumed 6 or more drinks on one occasion in the past 30 days</v>
          </cell>
          <cell r="D27">
            <v>8.3692474683789205E-4</v>
          </cell>
        </row>
        <row r="28">
          <cell r="C28" t="str">
            <v>of men consumed 6 or more drinks on one occasion</v>
          </cell>
          <cell r="D28">
            <v>1.2953050039842299E-3</v>
          </cell>
        </row>
        <row r="29">
          <cell r="C29" t="str">
            <v>of women consumed 6 or more drinks on one occasion</v>
          </cell>
          <cell r="D29">
            <v>2.3420317989769998E-12</v>
          </cell>
        </row>
        <row r="31">
          <cell r="C31" t="str">
            <v>Diet</v>
          </cell>
        </row>
        <row r="32">
          <cell r="C32" t="str">
            <v xml:space="preserve"> days</v>
          </cell>
        </row>
        <row r="33">
          <cell r="C33" t="str">
            <v>mean number of days fruits are consumed in a typical week</v>
          </cell>
          <cell r="D33">
            <v>4.6268615662888202</v>
          </cell>
        </row>
        <row r="34">
          <cell r="C34" t="str">
            <v>mean number of days vegetables consumed in a typical week</v>
          </cell>
          <cell r="D34">
            <v>5.5982828949268901</v>
          </cell>
        </row>
        <row r="35">
          <cell r="C35" t="str">
            <v>of the population eat less than 5 servings of fruit and/or vegetables per day</v>
          </cell>
          <cell r="D35">
            <v>0.64835113246084297</v>
          </cell>
        </row>
        <row r="36">
          <cell r="C36" t="str">
            <v>of the population do not eat any fruit or vegetables</v>
          </cell>
          <cell r="D36">
            <v>8.1973191506034299E-2</v>
          </cell>
        </row>
        <row r="37">
          <cell r="C37" t="str">
            <v>of the population always or often eat processed foods high in salt</v>
          </cell>
          <cell r="D37">
            <v>0.15486217632726601</v>
          </cell>
        </row>
        <row r="38">
          <cell r="C38" t="str">
            <v>mean number of grams of salt consumed per day</v>
          </cell>
          <cell r="D38">
            <v>8.5724624149886992</v>
          </cell>
        </row>
        <row r="40">
          <cell r="C40" t="str">
            <v>Physical Activity</v>
          </cell>
        </row>
        <row r="41">
          <cell r="C41" t="str">
            <v>of the population are not meeting WHO's recommendation for physical activity</v>
          </cell>
          <cell r="D41">
            <v>0.282180067039838</v>
          </cell>
        </row>
        <row r="42">
          <cell r="C42" t="str">
            <v>Among women …</v>
          </cell>
        </row>
        <row r="43">
          <cell r="C43" t="str">
            <v>Among men …</v>
          </cell>
        </row>
        <row r="44">
          <cell r="C44" t="str">
            <v>are not meeting WHO's recommendation for physical activity</v>
          </cell>
          <cell r="D44">
            <v>0.23752795840007701</v>
          </cell>
        </row>
        <row r="45">
          <cell r="C45" t="str">
            <v>are not meeting WHO's recommendation for physical activity</v>
          </cell>
          <cell r="D45">
            <v>0.36351765165317801</v>
          </cell>
        </row>
        <row r="46">
          <cell r="C46" t="str">
            <v>are not engaging in any vigorous physical activity</v>
          </cell>
          <cell r="D46">
            <v>0.64875401320257398</v>
          </cell>
        </row>
        <row r="47">
          <cell r="C47" t="str">
            <v>are not engaging in any vigorous physical activity</v>
          </cell>
          <cell r="D47">
            <v>0.919905639690629</v>
          </cell>
        </row>
        <row r="48">
          <cell r="C48" t="str">
            <v>of the population do not do any work-related activity</v>
          </cell>
          <cell r="D48">
            <v>0.52713003846956996</v>
          </cell>
        </row>
        <row r="49">
          <cell r="C49" t="str">
            <v>of the population do not do any transport-related activity e.g. walking or cycling</v>
          </cell>
          <cell r="D49">
            <v>0.32529403957074299</v>
          </cell>
        </row>
        <row r="50">
          <cell r="C50" t="str">
            <v>of the population do not do any activity in their leisure time</v>
          </cell>
          <cell r="D50">
            <v>0.55772081797472695</v>
          </cell>
        </row>
        <row r="51">
          <cell r="C51" t="str">
            <v>Average time spent in sedentary activity per day</v>
          </cell>
          <cell r="D51">
            <v>190.242550752619</v>
          </cell>
        </row>
        <row r="52">
          <cell r="C52" t="str">
            <v>minutes</v>
          </cell>
        </row>
        <row r="53">
          <cell r="C53" t="str">
            <v>hours</v>
          </cell>
        </row>
        <row r="55">
          <cell r="C55" t="str">
            <v>Body Mass Index</v>
          </cell>
        </row>
        <row r="56">
          <cell r="C56" t="str">
            <v>of the population are overweight*</v>
          </cell>
          <cell r="D56">
            <v>0.62877735216816799</v>
          </cell>
        </row>
        <row r="57">
          <cell r="C57" t="str">
            <v>of men are overweight</v>
          </cell>
          <cell r="D57">
            <v>0.61557366434485405</v>
          </cell>
        </row>
        <row r="58">
          <cell r="C58" t="str">
            <v>of women are overweight</v>
          </cell>
          <cell r="D58">
            <v>0.65418662289396901</v>
          </cell>
        </row>
        <row r="59">
          <cell r="C59" t="str">
            <v>of the population are obese**</v>
          </cell>
          <cell r="D59">
            <v>0.27152906497961798</v>
          </cell>
        </row>
        <row r="60">
          <cell r="C60" t="str">
            <v>of men are obese</v>
          </cell>
          <cell r="D60">
            <v>0.22536652560019499</v>
          </cell>
        </row>
        <row r="61">
          <cell r="C61" t="str">
            <v>of women are obese</v>
          </cell>
          <cell r="D61">
            <v>0.36036458547335298</v>
          </cell>
        </row>
        <row r="62">
          <cell r="C62" t="str">
            <v>* BMI ≥ 25</v>
          </cell>
        </row>
        <row r="63">
          <cell r="C63" t="str">
            <v>** BMI ≥ 30</v>
          </cell>
        </row>
        <row r="65">
          <cell r="C65" t="str">
            <v>Raised Blood Pressure</v>
          </cell>
        </row>
        <row r="66">
          <cell r="C66" t="str">
            <v>of the population have raised blood pressure* or are currently on medication for raised blood pressure</v>
          </cell>
          <cell r="D66">
            <v>0.27681126607406997</v>
          </cell>
        </row>
        <row r="67">
          <cell r="C67" t="str">
            <v>Of those …</v>
          </cell>
        </row>
        <row r="68">
          <cell r="C68" t="str">
            <v>have been previously diagnosed with raised blood pressure (aware)</v>
          </cell>
          <cell r="D68">
            <v>0.322874793852646</v>
          </cell>
        </row>
        <row r="69">
          <cell r="C69" t="str">
            <v>are taking medication for their raised blood pressure (treated)</v>
          </cell>
          <cell r="D69">
            <v>0.26436590212753303</v>
          </cell>
        </row>
        <row r="70">
          <cell r="C70" t="str">
            <v>have their blood pressure under control (controlled)</v>
          </cell>
          <cell r="D70">
            <v>0.106390625259793</v>
          </cell>
        </row>
        <row r="71">
          <cell r="C71" t="str">
            <v>* SBP ≥ 140 and/or DBP ≥ 90 mmHg</v>
          </cell>
        </row>
        <row r="73">
          <cell r="C73" t="str">
            <v>Raised Blood Sugar</v>
          </cell>
        </row>
        <row r="74">
          <cell r="C74" t="str">
            <v>of the population have raised blood sugar* or are currently on medication for diabetes</v>
          </cell>
          <cell r="D74">
            <v>0.1281915802228</v>
          </cell>
        </row>
        <row r="75">
          <cell r="C75" t="str">
            <v>are currently receiving treatment</v>
          </cell>
          <cell r="D75">
            <v>0.52937855991958904</v>
          </cell>
        </row>
        <row r="76">
          <cell r="C76" t="str">
            <v>of the population have never had their blood sugar measured</v>
          </cell>
          <cell r="D76">
            <v>0.303991401172785</v>
          </cell>
        </row>
        <row r="77">
          <cell r="C77" t="str">
            <v>* ≥ 126 mg/dl</v>
          </cell>
        </row>
        <row r="79">
          <cell r="C79" t="str">
            <v>Raised Total Cholesterol</v>
          </cell>
        </row>
        <row r="80">
          <cell r="C80" t="str">
            <v>of the population have raised total cholesterol* or currently on medication for raised cholesterol</v>
          </cell>
          <cell r="D80">
            <v>0.29079494611724699</v>
          </cell>
        </row>
        <row r="81">
          <cell r="C81" t="str">
            <v>of men have low HDL** (good cholesterol)</v>
          </cell>
          <cell r="D81">
            <v>0.68434528118692395</v>
          </cell>
        </row>
        <row r="82">
          <cell r="C82" t="str">
            <v>of women have low HDL*** (good cholesterol)</v>
          </cell>
          <cell r="D82">
            <v>0.68081723970028096</v>
          </cell>
        </row>
        <row r="83">
          <cell r="C83" t="str">
            <v xml:space="preserve">* ≥ 190 mg/dl </v>
          </cell>
        </row>
        <row r="84">
          <cell r="C84" t="str">
            <v>** &lt; 40 mg/d</v>
          </cell>
        </row>
        <row r="85">
          <cell r="C85" t="str">
            <v>*** &lt; 50 mg/d</v>
          </cell>
        </row>
        <row r="87">
          <cell r="C87" t="str">
            <v>Cardiovascular Disease</v>
          </cell>
        </row>
        <row r="88">
          <cell r="C88" t="str">
            <v>of the population aged 40-69 years have a 10-year CVD risk ≥20% or have existing CVD</v>
          </cell>
          <cell r="D88">
            <v>6.9820593077772899E-2</v>
          </cell>
        </row>
        <row r="89">
          <cell r="C89" t="str">
            <v>of which</v>
          </cell>
        </row>
        <row r="90">
          <cell r="C90" t="str">
            <v>are receiving drug therapy and counselling to prevent heart attacks and strokes</v>
          </cell>
          <cell r="D90">
            <v>0.63121018834652198</v>
          </cell>
        </row>
        <row r="92">
          <cell r="C92" t="str">
            <v>Lifestyle Advice*</v>
          </cell>
        </row>
        <row r="93">
          <cell r="C93" t="str">
            <v>* advice received in the past 12 months from a health worker, among the total population</v>
          </cell>
        </row>
        <row r="94">
          <cell r="C94" t="str">
            <v>were advised to quit smoking or not start</v>
          </cell>
          <cell r="D94">
            <v>9.5745108557744402E-2</v>
          </cell>
        </row>
        <row r="95">
          <cell r="C95" t="str">
            <v>were advised to lower the salt content in their food</v>
          </cell>
          <cell r="D95">
            <v>0.21563755583890301</v>
          </cell>
        </row>
        <row r="96">
          <cell r="C96" t="str">
            <v>were advised to eat at least five portions of fruit and vegetables a day</v>
          </cell>
          <cell r="D96">
            <v>0.26289312564970402</v>
          </cell>
        </row>
        <row r="97">
          <cell r="C97" t="str">
            <v>were advised to reduce fat in their diet</v>
          </cell>
          <cell r="D97">
            <v>0.271424195470722</v>
          </cell>
        </row>
        <row r="98">
          <cell r="C98" t="str">
            <v>were advised to do more physical activity</v>
          </cell>
          <cell r="D98">
            <v>0.29532934422375501</v>
          </cell>
        </row>
        <row r="99">
          <cell r="C99" t="str">
            <v>were advised to maintain healthy weight/lose weight</v>
          </cell>
          <cell r="D99">
            <v>0.27919456960889699</v>
          </cell>
        </row>
        <row r="100">
          <cell r="C100" t="str">
            <v>were advised to reduce sugary beverages in their diet</v>
          </cell>
          <cell r="D100">
            <v>0.27546177067159699</v>
          </cell>
        </row>
        <row r="102">
          <cell r="C102" t="str">
            <v>Multiple Risk Factors</v>
          </cell>
        </row>
        <row r="103">
          <cell r="C103" t="str">
            <v>of the population aged 18-69 years have 3 to 5 risk factors</v>
          </cell>
          <cell r="D103">
            <v>0.28742293759462201</v>
          </cell>
        </row>
        <row r="104">
          <cell r="C104" t="str">
            <v>of the population aged 18-69 years have 1 to 2 risk factors</v>
          </cell>
          <cell r="D104">
            <v>0.64310901058187997</v>
          </cell>
        </row>
        <row r="105">
          <cell r="C105" t="str">
            <v>of the population aged 18-69 years have 0 risk factors</v>
          </cell>
          <cell r="D105">
            <v>6.9468051844947004E-2</v>
          </cell>
        </row>
        <row r="106">
          <cell r="C106" t="str">
            <v>of 18-44 year olds have 3 to 5 risk factors</v>
          </cell>
          <cell r="D106">
            <v>0.24527101204722901</v>
          </cell>
        </row>
        <row r="107">
          <cell r="C107" t="str">
            <v>of 45-69 year olds have 3 to 5 risk factors</v>
          </cell>
          <cell r="D107">
            <v>0.422421810747382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F0574-AED4-4A71-AE22-5F14266F6688}">
  <sheetPr codeName="Sheet1"/>
  <dimension ref="A1:E107"/>
  <sheetViews>
    <sheetView topLeftCell="A91" zoomScale="110" zoomScaleNormal="110" workbookViewId="0">
      <selection activeCell="B105" sqref="B105"/>
    </sheetView>
  </sheetViews>
  <sheetFormatPr defaultColWidth="8.85546875" defaultRowHeight="15" x14ac:dyDescent="0.25"/>
  <cols>
    <col min="1" max="1" width="44" customWidth="1"/>
    <col min="3" max="3" width="20.42578125" bestFit="1" customWidth="1"/>
    <col min="5" max="5" width="13.85546875" style="5" bestFit="1" customWidth="1"/>
  </cols>
  <sheetData>
    <row r="1" spans="1:5" x14ac:dyDescent="0.25">
      <c r="A1" t="s">
        <v>0</v>
      </c>
      <c r="B1" s="54" t="s">
        <v>4</v>
      </c>
      <c r="C1" s="6" t="s">
        <v>1</v>
      </c>
      <c r="D1" s="6" t="s">
        <v>2</v>
      </c>
      <c r="E1" s="6" t="s">
        <v>3</v>
      </c>
    </row>
    <row r="2" spans="1:5" x14ac:dyDescent="0.25">
      <c r="A2" s="14" t="str">
        <f>[1]data!$C$2</f>
        <v>Tobacco Use</v>
      </c>
    </row>
    <row r="3" spans="1:5" x14ac:dyDescent="0.25">
      <c r="A3" t="str">
        <f>[1]data!$C$3</f>
        <v>of the population are current smokers</v>
      </c>
      <c r="B3" s="24">
        <f>[1]data!$D$3</f>
        <v>0.107647579325821</v>
      </c>
      <c r="C3" s="4">
        <f>(B3*100)</f>
        <v>10.7647579325821</v>
      </c>
      <c r="D3" s="4">
        <f>100-C3</f>
        <v>89.2352420674179</v>
      </c>
    </row>
    <row r="4" spans="1:5" x14ac:dyDescent="0.25">
      <c r="A4" s="2" t="str">
        <f>[1]data!$C$4</f>
        <v>of men</v>
      </c>
      <c r="B4" s="24">
        <f>[1]data!$D$4</f>
        <v>0.164356428207314</v>
      </c>
      <c r="C4" s="3">
        <f>ROUND(B4*100,1)</f>
        <v>16.399999999999999</v>
      </c>
      <c r="D4" s="3">
        <f t="shared" ref="D4:D16" si="0">100-C4</f>
        <v>83.6</v>
      </c>
      <c r="E4" s="5" t="str">
        <f>TEXT(B4, "0% ")&amp; CHAR(10) &amp; A4</f>
        <v>16% 
of men</v>
      </c>
    </row>
    <row r="5" spans="1:5" x14ac:dyDescent="0.25">
      <c r="A5" s="2" t="str">
        <f>[1]data!$C$5</f>
        <v>of women</v>
      </c>
      <c r="B5" s="24">
        <f>[1]data!$D$5</f>
        <v>3.9214223396439804E-3</v>
      </c>
      <c r="C5" s="3">
        <f>ROUND(B5*100,1)</f>
        <v>0.4</v>
      </c>
      <c r="D5" s="3">
        <f t="shared" si="0"/>
        <v>99.6</v>
      </c>
      <c r="E5" s="5" t="str">
        <f>IF(C5&lt;1,_xlfn.CONCAT("&lt;1% ", A5),TEXT(B5, "0% ")&amp; CHAR(10) &amp; A5)</f>
        <v>&lt;1% of women</v>
      </c>
    </row>
    <row r="6" spans="1:5" x14ac:dyDescent="0.25">
      <c r="A6" t="str">
        <f>[1]data!$C$6</f>
        <v>Among current smokers</v>
      </c>
      <c r="B6" s="1"/>
      <c r="C6" s="3"/>
      <c r="D6" s="3"/>
    </row>
    <row r="7" spans="1:5" s="31" customFormat="1" x14ac:dyDescent="0.25">
      <c r="A7" s="31" t="str">
        <f>[1]data!$C$7</f>
        <v>smoke daily</v>
      </c>
      <c r="B7" s="24">
        <f>[1]data!$D$7</f>
        <v>0.774292345562961</v>
      </c>
      <c r="C7" s="3">
        <f t="shared" ref="C7:C14" si="1">(B7*100)</f>
        <v>77.429234556296095</v>
      </c>
      <c r="D7" s="3">
        <f t="shared" si="0"/>
        <v>22.570765443703905</v>
      </c>
      <c r="E7" s="5"/>
    </row>
    <row r="8" spans="1:5" x14ac:dyDescent="0.25">
      <c r="A8" t="str">
        <f>[1]data!$C$8</f>
        <v>smoke manufactured cigarettes</v>
      </c>
      <c r="B8" s="24">
        <f>[1]data!$D$8</f>
        <v>0.82515702352568698</v>
      </c>
      <c r="C8" s="3">
        <f t="shared" si="1"/>
        <v>82.515702352568695</v>
      </c>
      <c r="D8" s="3">
        <f t="shared" si="0"/>
        <v>17.484297647431305</v>
      </c>
    </row>
    <row r="9" spans="1:5" x14ac:dyDescent="0.25">
      <c r="A9" t="str">
        <f>[1]data!$C$9</f>
        <v>smoke hand-rolled cigarettes</v>
      </c>
      <c r="B9" s="24">
        <f>[1]data!$D$9</f>
        <v>0.15418665007707899</v>
      </c>
      <c r="C9" s="3">
        <f t="shared" si="1"/>
        <v>15.418665007707899</v>
      </c>
      <c r="D9" s="3">
        <f t="shared" si="0"/>
        <v>84.581334992292099</v>
      </c>
    </row>
    <row r="10" spans="1:5" x14ac:dyDescent="0.25">
      <c r="A10" t="str">
        <f>[1]data!$C$10</f>
        <v>smoke cigars, cheroots or cigarillos</v>
      </c>
      <c r="B10" s="24">
        <f>[1]data!$D$10</f>
        <v>9.5096432821885707E-2</v>
      </c>
      <c r="C10" s="3">
        <f t="shared" si="1"/>
        <v>9.5096432821885699</v>
      </c>
      <c r="D10" s="3">
        <f t="shared" si="0"/>
        <v>90.490356717811437</v>
      </c>
    </row>
    <row r="11" spans="1:5" x14ac:dyDescent="0.25">
      <c r="A11" t="str">
        <f>[1]data!$C$11</f>
        <v>smoke pipes</v>
      </c>
      <c r="B11" s="24">
        <f>[1]data!$D$11</f>
        <v>0.15843615169165201</v>
      </c>
      <c r="C11" s="3">
        <f t="shared" si="1"/>
        <v>15.843615169165201</v>
      </c>
      <c r="D11" s="3">
        <f t="shared" si="0"/>
        <v>84.156384830834796</v>
      </c>
    </row>
    <row r="12" spans="1:5" x14ac:dyDescent="0.25">
      <c r="A12" t="str">
        <f>[1]data!$C$12</f>
        <v>smoke shisha</v>
      </c>
      <c r="B12" s="1">
        <f>[1]data!$D$12</f>
        <v>0.15247961852986699</v>
      </c>
      <c r="C12" s="3">
        <f t="shared" si="1"/>
        <v>15.2479618529867</v>
      </c>
      <c r="D12" s="3">
        <f t="shared" si="0"/>
        <v>84.752038147013295</v>
      </c>
    </row>
    <row r="13" spans="1:5" x14ac:dyDescent="0.25">
      <c r="A13" t="str">
        <f>[1]data!$C$13</f>
        <v>have tried to stop smoking during the past 12 months</v>
      </c>
      <c r="B13" s="1">
        <f>[1]data!$D$13</f>
        <v>0.41549284252940599</v>
      </c>
      <c r="C13" s="3">
        <f t="shared" si="1"/>
        <v>41.549284252940602</v>
      </c>
      <c r="D13" s="3">
        <f t="shared" si="0"/>
        <v>58.450715747059398</v>
      </c>
      <c r="E13" s="5" t="str">
        <f>TEXT(data!B13, "0% ") &amp; CHAR(10) &amp; A13</f>
        <v>42% 
have tried to stop smoking during the past 12 months</v>
      </c>
    </row>
    <row r="14" spans="1:5" x14ac:dyDescent="0.25">
      <c r="A14" t="str">
        <f>[1]data!$C$14</f>
        <v xml:space="preserve">have been advised by a health care professional to stop smoking </v>
      </c>
      <c r="B14" s="1">
        <f>[1]data!$D$14</f>
        <v>0.35521875596033697</v>
      </c>
      <c r="C14" s="3">
        <f t="shared" si="1"/>
        <v>35.521875596033695</v>
      </c>
      <c r="D14" s="3">
        <f t="shared" si="0"/>
        <v>64.478124403966305</v>
      </c>
      <c r="E14" s="5" t="str">
        <f>TEXT(data!B14, "0% ") &amp; CHAR(10) &amp; A14</f>
        <v xml:space="preserve">36% 
have been advised by a health care professional to stop smoking </v>
      </c>
    </row>
    <row r="15" spans="1:5" x14ac:dyDescent="0.25">
      <c r="A15" t="str">
        <f>[1]data!$C$15</f>
        <v>of the population are current smokeless users</v>
      </c>
      <c r="B15" s="1">
        <f>[1]data!$D$15</f>
        <v>1.2447157214614901E-2</v>
      </c>
      <c r="C15" s="3">
        <f t="shared" ref="C15:C16" si="2">(B15*100)</f>
        <v>1.2447157214614901</v>
      </c>
      <c r="D15" s="3">
        <f t="shared" si="0"/>
        <v>98.755284278538511</v>
      </c>
    </row>
    <row r="16" spans="1:5" x14ac:dyDescent="0.25">
      <c r="A16" t="str">
        <f>[1]data!$C$16</f>
        <v>of the population currently use any tobacco products</v>
      </c>
      <c r="B16" s="1">
        <f>[1]data!$D$16</f>
        <v>0.11498828540660599</v>
      </c>
      <c r="C16" s="3">
        <f t="shared" si="2"/>
        <v>11.4988285406606</v>
      </c>
      <c r="D16" s="3">
        <f t="shared" si="0"/>
        <v>88.501171459339403</v>
      </c>
    </row>
    <row r="17" spans="1:5" x14ac:dyDescent="0.25">
      <c r="B17" s="1"/>
    </row>
    <row r="18" spans="1:5" x14ac:dyDescent="0.25">
      <c r="A18" s="14" t="str">
        <f>[1]data!$C$18</f>
        <v>Alcohol Use</v>
      </c>
      <c r="B18" s="1"/>
    </row>
    <row r="19" spans="1:5" x14ac:dyDescent="0.25">
      <c r="A19" t="str">
        <f>[1]data!$C$19</f>
        <v>of the population are current drinkers</v>
      </c>
      <c r="B19" s="24">
        <f>[1]data!$D$19</f>
        <v>1.4477027660706999E-2</v>
      </c>
      <c r="C19" s="4">
        <f>B19*100</f>
        <v>1.4477027660707</v>
      </c>
      <c r="D19" s="4">
        <f>100-C19</f>
        <v>98.552297233929295</v>
      </c>
    </row>
    <row r="20" spans="1:5" x14ac:dyDescent="0.25">
      <c r="A20" s="2" t="str">
        <f>[1]data!$C$20</f>
        <v>of men</v>
      </c>
      <c r="B20" s="24">
        <f>[1]data!$D$20</f>
        <v>2.0592588741272101E-2</v>
      </c>
      <c r="C20" s="3">
        <f>ROUND(B20*100,1)</f>
        <v>2.1</v>
      </c>
      <c r="D20" s="3">
        <f t="shared" ref="D20:D23" si="3">100-C20</f>
        <v>97.9</v>
      </c>
      <c r="E20" s="15" t="str">
        <f>TEXT(B20, "0% ")&amp; CHAR(10) &amp; A20</f>
        <v>2% 
of men</v>
      </c>
    </row>
    <row r="21" spans="1:5" x14ac:dyDescent="0.25">
      <c r="A21" s="2" t="str">
        <f>[1]data!$C$21</f>
        <v>of women</v>
      </c>
      <c r="B21" s="24">
        <f>[1]data!$D$21</f>
        <v>3.2910537951909499E-3</v>
      </c>
      <c r="C21" s="3">
        <f>ROUND(B21*100,1)</f>
        <v>0.3</v>
      </c>
      <c r="D21" s="3">
        <f t="shared" si="3"/>
        <v>99.7</v>
      </c>
      <c r="E21" s="5" t="str">
        <f>TEXT(B21, "0% ")&amp; CHAR(10) &amp; A21</f>
        <v>0% 
of women</v>
      </c>
    </row>
    <row r="22" spans="1:5" x14ac:dyDescent="0.25">
      <c r="A22" s="2" t="str">
        <f>[1]data!$C$22</f>
        <v>of 18-44 years</v>
      </c>
      <c r="B22" s="24">
        <f>[1]data!$D$22</f>
        <v>1.5221667008201401E-2</v>
      </c>
      <c r="C22" s="3">
        <f>ROUND(B22*100,1)</f>
        <v>1.5</v>
      </c>
      <c r="D22" s="3">
        <f t="shared" si="3"/>
        <v>98.5</v>
      </c>
      <c r="E22" s="5" t="str">
        <f>TEXT(B22, "0% ")&amp; CHAR(10) &amp; A22</f>
        <v>2% 
of 18-44 years</v>
      </c>
    </row>
    <row r="23" spans="1:5" x14ac:dyDescent="0.25">
      <c r="A23" s="2" t="str">
        <f>[1]data!$C$23</f>
        <v>of 45-69 years</v>
      </c>
      <c r="B23" s="24">
        <f>[1]data!$D$23</f>
        <v>1.59929510618744E-2</v>
      </c>
      <c r="C23" s="3">
        <f>ROUND(B23*100,1)</f>
        <v>1.6</v>
      </c>
      <c r="D23" s="3">
        <f t="shared" si="3"/>
        <v>98.4</v>
      </c>
      <c r="E23" s="5" t="str">
        <f>TEXT(B23, "0% ")&amp; CHAR(10) &amp; A23</f>
        <v>2% 
of 45-69 years</v>
      </c>
    </row>
    <row r="24" spans="1:5" s="31" customFormat="1" x14ac:dyDescent="0.25">
      <c r="A24" s="2" t="str">
        <f>[1]data!$C$24</f>
        <v>are current drinkers</v>
      </c>
      <c r="B24" s="24"/>
      <c r="C24" s="3"/>
      <c r="D24" s="3"/>
      <c r="E24" s="5"/>
    </row>
    <row r="25" spans="1:5" x14ac:dyDescent="0.25">
      <c r="A25" t="str">
        <f>[1]data!$C$25</f>
        <v>of the population are lifetime abstainers</v>
      </c>
      <c r="B25" s="1">
        <f>[1]data!$D$25</f>
        <v>0.96305316948442699</v>
      </c>
      <c r="C25" s="4">
        <f>ROUND(B25*100,1)</f>
        <v>96.3</v>
      </c>
      <c r="D25" s="4">
        <f>100-C25</f>
        <v>3.7000000000000028</v>
      </c>
    </row>
    <row r="26" spans="1:5" s="31" customFormat="1" x14ac:dyDescent="0.25">
      <c r="A26" s="31" t="str">
        <f>[1]data!$C$26</f>
        <v>Heavy episodic drinking</v>
      </c>
      <c r="B26" s="1"/>
      <c r="C26" s="4"/>
      <c r="D26" s="4"/>
      <c r="E26" s="5"/>
    </row>
    <row r="27" spans="1:5" ht="30" x14ac:dyDescent="0.25">
      <c r="A27" s="16" t="str">
        <f>[1]data!$C$27</f>
        <v>of the population consumed 6 or more drinks on one occasion in the past 30 days</v>
      </c>
      <c r="B27" s="1">
        <f>[1]data!$D$27</f>
        <v>8.3692474683789205E-4</v>
      </c>
    </row>
    <row r="28" spans="1:5" ht="30" x14ac:dyDescent="0.25">
      <c r="A28" s="16" t="str">
        <f>[1]data!$C$28</f>
        <v>of men consumed 6 or more drinks on one occasion</v>
      </c>
      <c r="B28" s="1">
        <f>[1]data!$D$28</f>
        <v>1.2953050039842299E-3</v>
      </c>
    </row>
    <row r="29" spans="1:5" ht="30" x14ac:dyDescent="0.25">
      <c r="A29" s="16" t="str">
        <f>[1]data!$C$29</f>
        <v>of women consumed 6 or more drinks on one occasion</v>
      </c>
      <c r="B29" s="1">
        <f>[1]data!$D$29</f>
        <v>2.3420317989769998E-12</v>
      </c>
    </row>
    <row r="31" spans="1:5" x14ac:dyDescent="0.25">
      <c r="A31" s="14" t="str">
        <f>[1]data!$C$31</f>
        <v>Diet</v>
      </c>
    </row>
    <row r="32" spans="1:5" s="31" customFormat="1" x14ac:dyDescent="0.25">
      <c r="A32" s="31" t="str">
        <f>[1]data!$C$32</f>
        <v xml:space="preserve"> days</v>
      </c>
      <c r="E32" s="5"/>
    </row>
    <row r="33" spans="1:5" ht="30" customHeight="1" x14ac:dyDescent="0.25">
      <c r="A33" s="16" t="str">
        <f>[1]data!$C$33</f>
        <v>mean number of days fruits are consumed in a typical week</v>
      </c>
      <c r="B33" s="26">
        <f>ROUND([1]data!$D$33,1)</f>
        <v>4.5999999999999996</v>
      </c>
      <c r="C33" s="28">
        <f>B33*100/7</f>
        <v>65.714285714285708</v>
      </c>
      <c r="D33" s="29"/>
    </row>
    <row r="34" spans="1:5" ht="30" x14ac:dyDescent="0.25">
      <c r="A34" s="16" t="str">
        <f>[1]data!$C$34</f>
        <v>mean number of days vegetables consumed in a typical week</v>
      </c>
      <c r="B34" s="26">
        <f>ROUND([1]data!$D$34,1)</f>
        <v>5.6</v>
      </c>
      <c r="C34" s="28">
        <f>B34*100/7</f>
        <v>80</v>
      </c>
      <c r="D34" s="29"/>
    </row>
    <row r="35" spans="1:5" ht="30" x14ac:dyDescent="0.25">
      <c r="A35" s="16" t="str">
        <f>[1]data!$C$35</f>
        <v>of the population eat less than 5 servings of fruit and/or vegetables per day</v>
      </c>
      <c r="B35" s="1">
        <f>[1]data!$D$35</f>
        <v>0.64835113246084297</v>
      </c>
      <c r="C35" s="29">
        <f>ROUND(B35*100,0)</f>
        <v>65</v>
      </c>
      <c r="D35" s="4">
        <f>100-C35</f>
        <v>35</v>
      </c>
    </row>
    <row r="36" spans="1:5" ht="30" x14ac:dyDescent="0.25">
      <c r="A36" s="16" t="str">
        <f>[1]data!$C$36</f>
        <v>of the population do not eat any fruit or vegetables</v>
      </c>
      <c r="B36" s="1">
        <f>[1]data!$D$36</f>
        <v>8.1973191506034299E-2</v>
      </c>
      <c r="C36" s="4">
        <f>B36*100</f>
        <v>8.1973191506034304</v>
      </c>
      <c r="D36" s="4">
        <f>100-C36</f>
        <v>91.802680849396566</v>
      </c>
      <c r="E36" s="5" t="str">
        <f>TEXT(data!B36, "0% ") &amp; CHAR(10) &amp; A36</f>
        <v>8% 
of the population do not eat any fruit or vegetables</v>
      </c>
    </row>
    <row r="37" spans="1:5" ht="32.25" customHeight="1" x14ac:dyDescent="0.25">
      <c r="A37" s="16" t="str">
        <f>[1]data!$C$37</f>
        <v>of the population always or often eat processed foods high in salt</v>
      </c>
      <c r="B37" s="1">
        <f>[1]data!$D$37</f>
        <v>0.15486217632726601</v>
      </c>
      <c r="C37" s="3">
        <f>B37*100</f>
        <v>15.486217632726602</v>
      </c>
      <c r="D37" s="3">
        <f t="shared" ref="D37" si="4">100-C37</f>
        <v>84.513782367273393</v>
      </c>
    </row>
    <row r="38" spans="1:5" ht="30" x14ac:dyDescent="0.25">
      <c r="A38" s="16" t="str">
        <f>[1]data!$C$38</f>
        <v>mean number of grams of salt consumed per day</v>
      </c>
      <c r="B38" s="26">
        <f>[1]data!$D$38</f>
        <v>8.5724624149886992</v>
      </c>
      <c r="C38" s="3" t="str">
        <f>_xlfn.CONCAT(B38)</f>
        <v>8.5724624149887</v>
      </c>
      <c r="D38" s="3"/>
    </row>
    <row r="40" spans="1:5" x14ac:dyDescent="0.25">
      <c r="A40" s="14" t="str">
        <f>[1]data!$C$40</f>
        <v>Physical Activity</v>
      </c>
    </row>
    <row r="41" spans="1:5" ht="30" x14ac:dyDescent="0.25">
      <c r="A41" s="16" t="str">
        <f>[1]data!$C$41</f>
        <v>of the population are not meeting WHO's recommendation for physical activity</v>
      </c>
      <c r="B41" s="1">
        <f>[1]data!$D$41</f>
        <v>0.282180067039838</v>
      </c>
      <c r="C41" s="3">
        <f t="shared" ref="C41:C47" si="5">B41*100</f>
        <v>28.2180067039838</v>
      </c>
      <c r="D41" s="3">
        <f t="shared" ref="D41:D50" si="6">100-C41</f>
        <v>71.781993296016196</v>
      </c>
    </row>
    <row r="42" spans="1:5" s="31" customFormat="1" x14ac:dyDescent="0.25">
      <c r="A42" s="16" t="str">
        <f>[1]data!$C$42</f>
        <v>Among women …</v>
      </c>
      <c r="B42" s="1"/>
      <c r="C42" s="3"/>
      <c r="D42" s="3"/>
      <c r="E42" s="5"/>
    </row>
    <row r="43" spans="1:5" s="31" customFormat="1" x14ac:dyDescent="0.25">
      <c r="A43" s="16" t="str">
        <f>[1]data!$C$43</f>
        <v>Among men …</v>
      </c>
      <c r="B43" s="1"/>
      <c r="C43" s="3"/>
      <c r="D43" s="3"/>
      <c r="E43" s="5"/>
    </row>
    <row r="44" spans="1:5" ht="30" x14ac:dyDescent="0.25">
      <c r="A44" s="16" t="str">
        <f>[1]data!$C$44</f>
        <v>are not meeting WHO's recommendation for physical activity</v>
      </c>
      <c r="B44" s="1">
        <f>[1]data!$D$44</f>
        <v>0.23752795840007701</v>
      </c>
      <c r="C44" s="3">
        <f t="shared" si="5"/>
        <v>23.7527958400077</v>
      </c>
      <c r="D44" s="3">
        <f t="shared" si="6"/>
        <v>76.247204159992293</v>
      </c>
    </row>
    <row r="45" spans="1:5" ht="30" x14ac:dyDescent="0.25">
      <c r="A45" s="16" t="str">
        <f>[1]data!$C$45</f>
        <v>are not meeting WHO's recommendation for physical activity</v>
      </c>
      <c r="B45" s="1">
        <f>[1]data!$D$45</f>
        <v>0.36351765165317801</v>
      </c>
      <c r="C45" s="3">
        <f t="shared" si="5"/>
        <v>36.351765165317801</v>
      </c>
      <c r="D45" s="3">
        <f t="shared" si="6"/>
        <v>63.648234834682199</v>
      </c>
    </row>
    <row r="46" spans="1:5" ht="30" x14ac:dyDescent="0.25">
      <c r="A46" s="16" t="str">
        <f>[1]data!$C$46</f>
        <v>are not engaging in any vigorous physical activity</v>
      </c>
      <c r="B46" s="1">
        <f>[1]data!$D$46</f>
        <v>0.64875401320257398</v>
      </c>
      <c r="C46" s="3">
        <f t="shared" si="5"/>
        <v>64.875401320257396</v>
      </c>
      <c r="D46" s="3">
        <f t="shared" si="6"/>
        <v>35.124598679742604</v>
      </c>
    </row>
    <row r="47" spans="1:5" ht="30" x14ac:dyDescent="0.25">
      <c r="A47" s="16" t="str">
        <f>[1]data!$C$47</f>
        <v>are not engaging in any vigorous physical activity</v>
      </c>
      <c r="B47" s="1">
        <f>[1]data!$D$47</f>
        <v>0.919905639690629</v>
      </c>
      <c r="C47" s="3">
        <f t="shared" si="5"/>
        <v>91.990563969062904</v>
      </c>
      <c r="D47" s="3">
        <f t="shared" si="6"/>
        <v>8.0094360309370956</v>
      </c>
    </row>
    <row r="48" spans="1:5" ht="30" x14ac:dyDescent="0.25">
      <c r="A48" s="16" t="str">
        <f>[1]data!$C$48</f>
        <v>of the population do not do any work-related activity</v>
      </c>
      <c r="B48" s="1">
        <f>[1]data!$D$48</f>
        <v>0.52713003846956996</v>
      </c>
      <c r="C48" s="50">
        <f>B48*100</f>
        <v>52.713003846956994</v>
      </c>
      <c r="D48" s="3">
        <f t="shared" si="6"/>
        <v>47.286996153043006</v>
      </c>
    </row>
    <row r="49" spans="1:5" ht="30" x14ac:dyDescent="0.25">
      <c r="A49" s="16" t="str">
        <f>[1]data!$C$49</f>
        <v>of the population do not do any transport-related activity e.g. walking or cycling</v>
      </c>
      <c r="B49" s="1">
        <f>[1]data!$D$49</f>
        <v>0.32529403957074299</v>
      </c>
      <c r="C49" s="3">
        <f>B49*100</f>
        <v>32.529403957074301</v>
      </c>
      <c r="D49" s="3">
        <f t="shared" si="6"/>
        <v>67.470596042925706</v>
      </c>
    </row>
    <row r="50" spans="1:5" ht="30" x14ac:dyDescent="0.25">
      <c r="A50" s="16" t="str">
        <f>[1]data!$C$50</f>
        <v>of the population do not do any activity in their leisure time</v>
      </c>
      <c r="B50" s="1">
        <f>[1]data!$D$50</f>
        <v>0.55772081797472695</v>
      </c>
      <c r="C50" s="3">
        <f>B50*100</f>
        <v>55.772081797472694</v>
      </c>
      <c r="D50" s="3">
        <f t="shared" si="6"/>
        <v>44.227918202527306</v>
      </c>
    </row>
    <row r="51" spans="1:5" x14ac:dyDescent="0.25">
      <c r="A51" s="16" t="str">
        <f>[1]data!$C$51</f>
        <v>Average time spent in sedentary activity per day</v>
      </c>
      <c r="B51">
        <f>[1]data!$D$51</f>
        <v>190.242550752619</v>
      </c>
      <c r="C51" s="3"/>
      <c r="D51" s="3"/>
    </row>
    <row r="52" spans="1:5" s="31" customFormat="1" x14ac:dyDescent="0.25">
      <c r="A52" s="16" t="str">
        <f>[1]data!$C$52</f>
        <v>minutes</v>
      </c>
      <c r="C52" s="3" t="str">
        <f>IF(B51&gt;59,_xlfn.CONCAT(ROUND(B51/60,1)," ",A53),_xlfn.CONCAT(ROUND(B51,0)," ",A52))</f>
        <v>3.2 hours</v>
      </c>
      <c r="D52" s="3"/>
      <c r="E52" s="5"/>
    </row>
    <row r="53" spans="1:5" s="31" customFormat="1" x14ac:dyDescent="0.25">
      <c r="A53" s="16" t="str">
        <f>[1]data!$C$53</f>
        <v>hours</v>
      </c>
      <c r="C53" s="3"/>
      <c r="D53" s="3"/>
      <c r="E53" s="5"/>
    </row>
    <row r="55" spans="1:5" x14ac:dyDescent="0.25">
      <c r="A55" s="14" t="str">
        <f>[1]data!$C$55</f>
        <v>Body Mass Index</v>
      </c>
    </row>
    <row r="56" spans="1:5" x14ac:dyDescent="0.25">
      <c r="A56" s="16" t="str">
        <f>[1]data!$C$56</f>
        <v>of the population are overweight*</v>
      </c>
      <c r="B56" s="1">
        <f>[1]data!$D$56</f>
        <v>0.62877735216816799</v>
      </c>
      <c r="C56" s="3">
        <f t="shared" ref="C56:C61" si="7">B56*100</f>
        <v>62.877735216816802</v>
      </c>
      <c r="D56" s="3">
        <f t="shared" ref="D56:D61" si="8">100-C56</f>
        <v>37.122264783183198</v>
      </c>
    </row>
    <row r="57" spans="1:5" x14ac:dyDescent="0.25">
      <c r="A57" s="16" t="str">
        <f>[1]data!$C$57</f>
        <v>of men are overweight</v>
      </c>
      <c r="B57" s="1">
        <f>[1]data!$D$57</f>
        <v>0.61557366434485405</v>
      </c>
      <c r="C57" s="3">
        <f t="shared" si="7"/>
        <v>61.557366434485402</v>
      </c>
      <c r="D57" s="3">
        <f t="shared" si="8"/>
        <v>38.442633565514598</v>
      </c>
    </row>
    <row r="58" spans="1:5" x14ac:dyDescent="0.25">
      <c r="A58" s="16" t="str">
        <f>[1]data!$C$58</f>
        <v>of women are overweight</v>
      </c>
      <c r="B58" s="1">
        <f>[1]data!$D$58</f>
        <v>0.65418662289396901</v>
      </c>
      <c r="C58" s="3">
        <f t="shared" si="7"/>
        <v>65.418662289396906</v>
      </c>
      <c r="D58" s="3">
        <f t="shared" si="8"/>
        <v>34.581337710603094</v>
      </c>
    </row>
    <row r="59" spans="1:5" x14ac:dyDescent="0.25">
      <c r="A59" s="16" t="str">
        <f>[1]data!$C$59</f>
        <v>of the population are obese**</v>
      </c>
      <c r="B59" s="1">
        <f>[1]data!$D$59</f>
        <v>0.27152906497961798</v>
      </c>
      <c r="C59" s="3">
        <f t="shared" si="7"/>
        <v>27.152906497961798</v>
      </c>
      <c r="D59" s="3">
        <f t="shared" si="8"/>
        <v>72.847093502038206</v>
      </c>
    </row>
    <row r="60" spans="1:5" x14ac:dyDescent="0.25">
      <c r="A60" s="16" t="str">
        <f>[1]data!$C$60</f>
        <v>of men are obese</v>
      </c>
      <c r="B60" s="1">
        <f>[1]data!$D$60</f>
        <v>0.22536652560019499</v>
      </c>
      <c r="C60" s="3">
        <f t="shared" si="7"/>
        <v>22.536652560019498</v>
      </c>
      <c r="D60" s="3">
        <f t="shared" si="8"/>
        <v>77.46334743998051</v>
      </c>
    </row>
    <row r="61" spans="1:5" x14ac:dyDescent="0.25">
      <c r="A61" s="16" t="str">
        <f>[1]data!$C$61</f>
        <v>of women are obese</v>
      </c>
      <c r="B61" s="1">
        <f>[1]data!$D$61</f>
        <v>0.36036458547335298</v>
      </c>
      <c r="C61" s="3">
        <f t="shared" si="7"/>
        <v>36.0364585473353</v>
      </c>
      <c r="D61" s="3">
        <f t="shared" si="8"/>
        <v>63.9635414526647</v>
      </c>
    </row>
    <row r="62" spans="1:5" s="55" customFormat="1" x14ac:dyDescent="0.25">
      <c r="A62" s="16" t="str">
        <f>[1]data!$C$62</f>
        <v>* BMI ≥ 25</v>
      </c>
      <c r="B62" s="1"/>
      <c r="C62" s="3"/>
      <c r="D62" s="3"/>
      <c r="E62" s="5"/>
    </row>
    <row r="63" spans="1:5" s="55" customFormat="1" x14ac:dyDescent="0.25">
      <c r="A63" s="16" t="str">
        <f>[1]data!$C$63</f>
        <v>** BMI ≥ 30</v>
      </c>
      <c r="B63" s="1"/>
      <c r="C63" s="3"/>
      <c r="D63" s="3"/>
      <c r="E63" s="5"/>
    </row>
    <row r="65" spans="1:5" x14ac:dyDescent="0.25">
      <c r="A65" s="14" t="str">
        <f>[1]data!$C$65</f>
        <v>Raised Blood Pressure</v>
      </c>
    </row>
    <row r="66" spans="1:5" ht="45" x14ac:dyDescent="0.25">
      <c r="A66" s="16" t="str">
        <f>[1]data!$C$66</f>
        <v>of the population have raised blood pressure* or are currently on medication for raised blood pressure</v>
      </c>
      <c r="B66" s="1">
        <f>[1]data!$D$66</f>
        <v>0.27681126607406997</v>
      </c>
      <c r="C66" s="3">
        <f>B66*100</f>
        <v>27.681126607406998</v>
      </c>
      <c r="D66" s="3">
        <f t="shared" ref="D66" si="9">100-C66</f>
        <v>72.318873392593005</v>
      </c>
    </row>
    <row r="67" spans="1:5" x14ac:dyDescent="0.25">
      <c r="A67" s="16" t="str">
        <f>[1]data!$C$67</f>
        <v>Of those …</v>
      </c>
      <c r="B67" s="25"/>
    </row>
    <row r="68" spans="1:5" ht="30" x14ac:dyDescent="0.25">
      <c r="A68" s="16" t="str">
        <f>[1]data!$C$68</f>
        <v>have been previously diagnosed with raised blood pressure (aware)</v>
      </c>
      <c r="B68" s="1">
        <f>[1]data!$D$68</f>
        <v>0.322874793852646</v>
      </c>
      <c r="C68" s="3">
        <f t="shared" ref="C68:C70" si="10">B68*100</f>
        <v>32.287479385264604</v>
      </c>
      <c r="D68" s="3">
        <f t="shared" ref="D68:D70" si="11">100-C68</f>
        <v>67.712520614735396</v>
      </c>
    </row>
    <row r="69" spans="1:5" ht="30" x14ac:dyDescent="0.25">
      <c r="A69" s="16" t="str">
        <f>[1]data!$C$69</f>
        <v>are taking medication for their raised blood pressure (treated)</v>
      </c>
      <c r="B69" s="1">
        <f>[1]data!$D$69</f>
        <v>0.26436590212753303</v>
      </c>
      <c r="C69" s="3">
        <f t="shared" si="10"/>
        <v>26.436590212753302</v>
      </c>
      <c r="D69" s="3">
        <f t="shared" si="11"/>
        <v>73.563409787246698</v>
      </c>
    </row>
    <row r="70" spans="1:5" ht="19.5" customHeight="1" x14ac:dyDescent="0.25">
      <c r="A70" s="16" t="str">
        <f>[1]data!$C$70</f>
        <v>have their blood pressure under control (controlled)</v>
      </c>
      <c r="B70" s="1">
        <f>[1]data!$D$70</f>
        <v>0.106390625259793</v>
      </c>
      <c r="C70" s="3">
        <f t="shared" si="10"/>
        <v>10.6390625259793</v>
      </c>
      <c r="D70" s="3">
        <f t="shared" si="11"/>
        <v>89.360937474020702</v>
      </c>
    </row>
    <row r="71" spans="1:5" s="55" customFormat="1" ht="19.5" customHeight="1" x14ac:dyDescent="0.25">
      <c r="A71" s="16" t="str">
        <f>[1]data!$C$71</f>
        <v>* SBP ≥ 140 and/or DBP ≥ 90 mmHg</v>
      </c>
      <c r="B71" s="1"/>
      <c r="C71" s="3"/>
      <c r="D71" s="3"/>
      <c r="E71" s="5"/>
    </row>
    <row r="72" spans="1:5" x14ac:dyDescent="0.25">
      <c r="A72" s="16"/>
    </row>
    <row r="73" spans="1:5" x14ac:dyDescent="0.25">
      <c r="A73" s="14" t="str">
        <f>[1]data!$C$73</f>
        <v>Raised Blood Sugar</v>
      </c>
    </row>
    <row r="74" spans="1:5" ht="30" x14ac:dyDescent="0.25">
      <c r="A74" s="16" t="str">
        <f>[1]data!$C$74</f>
        <v>of the population have raised blood sugar* or are currently on medication for diabetes</v>
      </c>
      <c r="B74" s="1">
        <f>[1]data!$D$74</f>
        <v>0.1281915802228</v>
      </c>
      <c r="C74" s="3">
        <f>B74*100</f>
        <v>12.81915802228</v>
      </c>
      <c r="D74" s="3">
        <f t="shared" ref="D74" si="12">100-C74</f>
        <v>87.180841977720007</v>
      </c>
    </row>
    <row r="75" spans="1:5" x14ac:dyDescent="0.25">
      <c r="A75" s="16" t="str">
        <f>[1]data!$C$75</f>
        <v>are currently receiving treatment</v>
      </c>
      <c r="B75" s="1">
        <f>[1]data!$D$75</f>
        <v>0.52937855991958904</v>
      </c>
      <c r="C75" s="3">
        <f>B75*100</f>
        <v>52.937855991958905</v>
      </c>
      <c r="D75" s="3">
        <f>100-C75</f>
        <v>47.062144008041095</v>
      </c>
    </row>
    <row r="76" spans="1:5" ht="30" x14ac:dyDescent="0.25">
      <c r="A76" s="16" t="str">
        <f>[1]data!$C$76</f>
        <v>of the population have never had their blood sugar measured</v>
      </c>
      <c r="B76" s="1">
        <f>[1]data!$D$76</f>
        <v>0.303991401172785</v>
      </c>
      <c r="C76" s="3"/>
      <c r="D76" s="3"/>
      <c r="E76"/>
    </row>
    <row r="77" spans="1:5" s="55" customFormat="1" x14ac:dyDescent="0.25">
      <c r="A77" s="16" t="str">
        <f>[1]data!$C$77</f>
        <v>* ≥ 126 mg/dl</v>
      </c>
      <c r="B77" s="1"/>
      <c r="C77" s="3"/>
      <c r="D77" s="3"/>
    </row>
    <row r="78" spans="1:5" x14ac:dyDescent="0.25">
      <c r="A78" s="16"/>
      <c r="B78" s="23"/>
      <c r="C78" s="3"/>
      <c r="D78" s="3"/>
      <c r="E78"/>
    </row>
    <row r="79" spans="1:5" x14ac:dyDescent="0.25">
      <c r="A79" s="14" t="str">
        <f>[1]data!$C$79</f>
        <v>Raised Total Cholesterol</v>
      </c>
      <c r="B79" s="23"/>
      <c r="C79" s="27"/>
      <c r="D79" s="27"/>
      <c r="E79"/>
    </row>
    <row r="80" spans="1:5" ht="45" x14ac:dyDescent="0.25">
      <c r="A80" s="16" t="str">
        <f>[1]data!$C$80</f>
        <v>of the population have raised total cholesterol* or currently on medication for raised cholesterol</v>
      </c>
      <c r="B80" s="1">
        <f>[1]data!$D$80</f>
        <v>0.29079494611724699</v>
      </c>
      <c r="C80" s="3">
        <f t="shared" ref="C80:C82" si="13">B80*100</f>
        <v>29.079494611724698</v>
      </c>
      <c r="D80" s="3">
        <f t="shared" ref="D80" si="14">100-C80</f>
        <v>70.920505388275302</v>
      </c>
      <c r="E80"/>
    </row>
    <row r="81" spans="1:5" x14ac:dyDescent="0.25">
      <c r="A81" s="16" t="str">
        <f>[1]data!$C$81</f>
        <v>of men have low HDL** (good cholesterol)</v>
      </c>
      <c r="B81" s="1">
        <f>[1]data!$D$81</f>
        <v>0.68434528118692395</v>
      </c>
      <c r="C81" s="3">
        <f t="shared" si="13"/>
        <v>68.434528118692398</v>
      </c>
      <c r="D81" s="3">
        <f t="shared" ref="D81" si="15">100-C81</f>
        <v>31.565471881307602</v>
      </c>
      <c r="E81"/>
    </row>
    <row r="82" spans="1:5" x14ac:dyDescent="0.25">
      <c r="A82" s="16" t="str">
        <f>[1]data!$C$82</f>
        <v>of women have low HDL*** (good cholesterol)</v>
      </c>
      <c r="B82" s="1">
        <f>[1]data!$D$82</f>
        <v>0.68081723970028096</v>
      </c>
      <c r="C82" s="3">
        <f t="shared" si="13"/>
        <v>68.081723970028094</v>
      </c>
      <c r="D82" s="3">
        <f t="shared" ref="D82" si="16">100-C82</f>
        <v>31.918276029971906</v>
      </c>
      <c r="E82"/>
    </row>
    <row r="83" spans="1:5" s="55" customFormat="1" x14ac:dyDescent="0.25">
      <c r="A83" s="16" t="str">
        <f>[1]data!$C$83</f>
        <v xml:space="preserve">* ≥ 190 mg/dl </v>
      </c>
      <c r="B83" s="1"/>
      <c r="C83" s="3"/>
      <c r="D83" s="3"/>
    </row>
    <row r="84" spans="1:5" s="55" customFormat="1" x14ac:dyDescent="0.25">
      <c r="A84" s="16" t="str">
        <f>[1]data!$C$84</f>
        <v>** &lt; 40 mg/d</v>
      </c>
      <c r="B84" s="1"/>
      <c r="C84" s="3"/>
      <c r="D84" s="3"/>
    </row>
    <row r="85" spans="1:5" s="55" customFormat="1" x14ac:dyDescent="0.25">
      <c r="A85" s="16" t="str">
        <f>[1]data!$C$85</f>
        <v>*** &lt; 50 mg/d</v>
      </c>
      <c r="B85" s="1"/>
      <c r="C85" s="3"/>
      <c r="D85" s="3"/>
    </row>
    <row r="86" spans="1:5" x14ac:dyDescent="0.25">
      <c r="A86" s="16"/>
      <c r="B86" s="23"/>
      <c r="C86" s="3"/>
      <c r="D86" s="3"/>
      <c r="E86"/>
    </row>
    <row r="87" spans="1:5" x14ac:dyDescent="0.25">
      <c r="A87" s="14" t="str">
        <f>[1]data!$C$87</f>
        <v>Cardiovascular Disease</v>
      </c>
      <c r="E87"/>
    </row>
    <row r="88" spans="1:5" x14ac:dyDescent="0.25">
      <c r="A88" t="str">
        <f>[1]data!$C$88</f>
        <v>of the population aged 40-69 years have a 10-year CVD risk ≥20% or have existing CVD</v>
      </c>
      <c r="B88" s="1">
        <f>[1]data!$D$88</f>
        <v>6.9820593077772899E-2</v>
      </c>
      <c r="C88" s="3">
        <f>ROUND(B88*100,1)</f>
        <v>7</v>
      </c>
      <c r="D88" s="3">
        <f>100-C88</f>
        <v>93</v>
      </c>
    </row>
    <row r="89" spans="1:5" s="31" customFormat="1" x14ac:dyDescent="0.25">
      <c r="A89" s="33" t="str">
        <f>[1]data!$C$89</f>
        <v>of which</v>
      </c>
      <c r="B89" s="1"/>
      <c r="C89" s="3"/>
      <c r="D89" s="3"/>
      <c r="E89" s="5"/>
    </row>
    <row r="90" spans="1:5" ht="30" x14ac:dyDescent="0.25">
      <c r="A90" s="16" t="str">
        <f>[1]data!$C$90</f>
        <v>are receiving drug therapy and counselling to prevent heart attacks and strokes</v>
      </c>
      <c r="B90" s="1">
        <f>[1]data!$D$90</f>
        <v>0.63121018834652198</v>
      </c>
      <c r="C90" s="3">
        <f t="shared" ref="C90:C100" si="17">ROUND(B90*100,1)</f>
        <v>63.1</v>
      </c>
      <c r="D90" s="3">
        <f t="shared" ref="D90:D100" si="18">100-C90</f>
        <v>36.9</v>
      </c>
    </row>
    <row r="91" spans="1:5" x14ac:dyDescent="0.25">
      <c r="A91" s="16"/>
      <c r="B91" s="1"/>
      <c r="C91" s="3"/>
      <c r="D91" s="3"/>
    </row>
    <row r="92" spans="1:5" x14ac:dyDescent="0.25">
      <c r="A92" s="14" t="str">
        <f>[1]data!$C$92</f>
        <v>Lifestyle Advice*</v>
      </c>
    </row>
    <row r="93" spans="1:5" s="31" customFormat="1" ht="30" x14ac:dyDescent="0.25">
      <c r="A93" s="16" t="str">
        <f>[1]data!$C$93</f>
        <v>* advice received in the past 12 months from a health worker, among the total population</v>
      </c>
      <c r="E93" s="5"/>
    </row>
    <row r="94" spans="1:5" x14ac:dyDescent="0.25">
      <c r="A94" s="16" t="str">
        <f>[1]data!$C$94</f>
        <v>were advised to quit smoking or not start</v>
      </c>
      <c r="B94" s="1">
        <f>[1]data!$D$94</f>
        <v>9.5745108557744402E-2</v>
      </c>
      <c r="C94" s="3">
        <f>ROUND(B94*100,1)</f>
        <v>9.6</v>
      </c>
      <c r="D94" s="3">
        <f>100-C94</f>
        <v>90.4</v>
      </c>
    </row>
    <row r="95" spans="1:5" ht="30" x14ac:dyDescent="0.25">
      <c r="A95" s="16" t="str">
        <f>[1]data!$C$95</f>
        <v>were advised to lower the salt content in their food</v>
      </c>
      <c r="B95" s="1">
        <f>[1]data!$D$95</f>
        <v>0.21563755583890301</v>
      </c>
      <c r="C95" s="3">
        <f>ROUND(B95*100,1)</f>
        <v>21.6</v>
      </c>
      <c r="D95" s="3">
        <f>100-C95</f>
        <v>78.400000000000006</v>
      </c>
    </row>
    <row r="96" spans="1:5" ht="30" x14ac:dyDescent="0.25">
      <c r="A96" s="16" t="str">
        <f>[1]data!$C$96</f>
        <v>were advised to eat at least five portions of fruit and vegetables a day</v>
      </c>
      <c r="B96" s="1">
        <f>[1]data!$D$96</f>
        <v>0.26289312564970402</v>
      </c>
      <c r="C96" s="3">
        <f t="shared" si="17"/>
        <v>26.3</v>
      </c>
      <c r="D96" s="3">
        <f t="shared" si="18"/>
        <v>73.7</v>
      </c>
    </row>
    <row r="97" spans="1:4" x14ac:dyDescent="0.25">
      <c r="A97" s="16" t="str">
        <f>[1]data!$C$97</f>
        <v>were advised to reduce fat in their diet</v>
      </c>
      <c r="B97" s="1">
        <f>[1]data!$D$97</f>
        <v>0.271424195470722</v>
      </c>
      <c r="C97" s="3">
        <f t="shared" si="17"/>
        <v>27.1</v>
      </c>
      <c r="D97" s="3">
        <f t="shared" si="18"/>
        <v>72.900000000000006</v>
      </c>
    </row>
    <row r="98" spans="1:4" x14ac:dyDescent="0.25">
      <c r="A98" s="16" t="str">
        <f>[1]data!$C$98</f>
        <v>were advised to do more physical activity</v>
      </c>
      <c r="B98" s="1">
        <f>[1]data!$D$98</f>
        <v>0.29532934422375501</v>
      </c>
      <c r="C98" s="3">
        <f t="shared" si="17"/>
        <v>29.5</v>
      </c>
      <c r="D98" s="3">
        <f t="shared" si="18"/>
        <v>70.5</v>
      </c>
    </row>
    <row r="99" spans="1:4" ht="30" x14ac:dyDescent="0.25">
      <c r="A99" s="16" t="str">
        <f>[1]data!$C$99</f>
        <v>were advised to maintain healthy weight/lose weight</v>
      </c>
      <c r="B99" s="1">
        <f>[1]data!$D$99</f>
        <v>0.27919456960889699</v>
      </c>
      <c r="C99" s="3">
        <f t="shared" si="17"/>
        <v>27.9</v>
      </c>
      <c r="D99" s="3">
        <f t="shared" si="18"/>
        <v>72.099999999999994</v>
      </c>
    </row>
    <row r="100" spans="1:4" ht="30" x14ac:dyDescent="0.25">
      <c r="A100" s="16" t="str">
        <f>[1]data!$C$100</f>
        <v>were advised to reduce sugary beverages in their diet</v>
      </c>
      <c r="B100" s="1">
        <f>[1]data!$D$100</f>
        <v>0.27546177067159699</v>
      </c>
      <c r="C100" s="3">
        <f t="shared" si="17"/>
        <v>27.5</v>
      </c>
      <c r="D100" s="3">
        <f t="shared" si="18"/>
        <v>72.5</v>
      </c>
    </row>
    <row r="101" spans="1:4" x14ac:dyDescent="0.25">
      <c r="A101" s="16"/>
      <c r="B101" s="1"/>
      <c r="C101" s="3"/>
      <c r="D101" s="3"/>
    </row>
    <row r="102" spans="1:4" ht="18.95" customHeight="1" x14ac:dyDescent="0.25">
      <c r="A102" s="14" t="str">
        <f>[1]data!$C$102</f>
        <v>Multiple Risk Factors</v>
      </c>
      <c r="B102" s="1"/>
      <c r="C102" s="3"/>
      <c r="D102" s="3"/>
    </row>
    <row r="103" spans="1:4" x14ac:dyDescent="0.25">
      <c r="A103" t="str">
        <f>[1]data!$C$103</f>
        <v>of the population aged 18-69 years have 3 to 5 risk factors</v>
      </c>
      <c r="B103" s="24">
        <f>[1]data!$D$103</f>
        <v>0.28742293759462201</v>
      </c>
      <c r="C103" s="3">
        <f>B103*100</f>
        <v>28.7422937594622</v>
      </c>
      <c r="D103" s="3">
        <f t="shared" ref="D103" si="19">100-C103</f>
        <v>71.2577062405378</v>
      </c>
    </row>
    <row r="104" spans="1:4" x14ac:dyDescent="0.25">
      <c r="A104" t="str">
        <f>[1]data!$C$104</f>
        <v>of the population aged 18-69 years have 1 to 2 risk factors</v>
      </c>
      <c r="B104" s="24">
        <f>[1]data!$D$104</f>
        <v>0.64310901058187997</v>
      </c>
      <c r="C104" s="3">
        <f t="shared" ref="C104:C107" si="20">B104*100</f>
        <v>64.310901058187994</v>
      </c>
      <c r="D104" s="3">
        <f t="shared" ref="D104" si="21">100-C104</f>
        <v>35.689098941812006</v>
      </c>
    </row>
    <row r="105" spans="1:4" x14ac:dyDescent="0.25">
      <c r="A105" t="str">
        <f>[1]data!$C$105</f>
        <v>of the population aged 18-69 years have 0 risk factors</v>
      </c>
      <c r="B105" s="1">
        <f>[1]data!$D$105</f>
        <v>6.9468051844947004E-2</v>
      </c>
      <c r="C105" s="3">
        <f t="shared" si="20"/>
        <v>6.9468051844947007</v>
      </c>
      <c r="D105" s="3">
        <f t="shared" ref="D105:D107" si="22">100-C105</f>
        <v>93.053194815505293</v>
      </c>
    </row>
    <row r="106" spans="1:4" x14ac:dyDescent="0.25">
      <c r="A106" t="str">
        <f>[1]data!$C$106</f>
        <v>of 18-44 year olds have 3 to 5 risk factors</v>
      </c>
      <c r="B106" s="1">
        <f>[1]data!$D$106</f>
        <v>0.24527101204722901</v>
      </c>
      <c r="C106" s="3">
        <f t="shared" si="20"/>
        <v>24.5271012047229</v>
      </c>
      <c r="D106" s="3">
        <f t="shared" si="22"/>
        <v>75.472898795277104</v>
      </c>
    </row>
    <row r="107" spans="1:4" x14ac:dyDescent="0.25">
      <c r="A107" t="str">
        <f>[1]data!$C$107</f>
        <v>of 45-69 year olds have 3 to 5 risk factors</v>
      </c>
      <c r="B107" s="1">
        <f>[1]data!$D$107</f>
        <v>0.422421810747382</v>
      </c>
      <c r="C107" s="3">
        <f t="shared" si="20"/>
        <v>42.242181074738198</v>
      </c>
      <c r="D107" s="3">
        <f t="shared" si="22"/>
        <v>57.757818925261802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0F96C-2342-498A-917B-91C3E212D586}">
  <sheetPr codeName="Sheet2">
    <pageSetUpPr fitToPage="1"/>
  </sheetPr>
  <dimension ref="A1:L37"/>
  <sheetViews>
    <sheetView showGridLines="0" topLeftCell="A26" zoomScale="130" zoomScaleNormal="130" workbookViewId="0">
      <selection activeCell="E2" sqref="E2"/>
    </sheetView>
  </sheetViews>
  <sheetFormatPr defaultColWidth="0" defaultRowHeight="15" zeroHeight="1" x14ac:dyDescent="0.25"/>
  <cols>
    <col min="1" max="1" width="3.42578125" customWidth="1"/>
    <col min="2" max="2" width="5.140625" customWidth="1"/>
    <col min="3" max="7" width="8.85546875" customWidth="1"/>
    <col min="8" max="11" width="7.7109375" customWidth="1"/>
    <col min="12" max="12" width="5.85546875" customWidth="1"/>
    <col min="13" max="16384" width="8.85546875" hidden="1"/>
  </cols>
  <sheetData>
    <row r="1" spans="1:12" x14ac:dyDescent="0.25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ht="30" x14ac:dyDescent="0.65">
      <c r="A2" s="7"/>
      <c r="B2" s="32" t="str">
        <f>data!A2</f>
        <v>Tobacco Use</v>
      </c>
      <c r="C2" s="7"/>
      <c r="D2" s="7"/>
      <c r="E2" s="7"/>
      <c r="F2" s="7"/>
      <c r="G2" s="7"/>
      <c r="H2" s="7"/>
      <c r="I2" s="7"/>
      <c r="J2" s="7"/>
      <c r="K2" s="7"/>
      <c r="L2" s="7"/>
    </row>
    <row r="3" spans="1:12" x14ac:dyDescent="0.25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</row>
    <row r="4" spans="1:12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</row>
    <row r="5" spans="1:12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</row>
    <row r="6" spans="1:12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spans="1:12" x14ac:dyDescent="0.2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</row>
    <row r="8" spans="1:12" x14ac:dyDescent="0.25">
      <c r="A8" s="7"/>
      <c r="B8" s="57">
        <f>data!B3</f>
        <v>0.107647579325821</v>
      </c>
      <c r="C8" s="7"/>
      <c r="D8" s="7"/>
      <c r="E8" s="7"/>
      <c r="F8" s="7"/>
      <c r="G8" s="7"/>
      <c r="H8" s="7"/>
      <c r="I8" s="7"/>
      <c r="J8" s="7"/>
      <c r="K8" s="7"/>
      <c r="L8" s="7"/>
    </row>
    <row r="9" spans="1:12" x14ac:dyDescent="0.25">
      <c r="A9" s="7"/>
      <c r="B9" s="57"/>
      <c r="C9" s="7"/>
      <c r="D9" s="7"/>
      <c r="E9" s="7"/>
      <c r="F9" s="7"/>
      <c r="G9" s="7"/>
      <c r="H9" s="7"/>
      <c r="I9" s="7"/>
      <c r="J9" s="7"/>
      <c r="K9" s="7"/>
      <c r="L9" s="7"/>
    </row>
    <row r="10" spans="1:12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</row>
    <row r="11" spans="1:12" x14ac:dyDescent="0.2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</row>
    <row r="12" spans="1:12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</row>
    <row r="13" spans="1:12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</row>
    <row r="14" spans="1:12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</row>
    <row r="15" spans="1:12" x14ac:dyDescent="0.2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</row>
    <row r="16" spans="1:12" x14ac:dyDescent="0.2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</row>
    <row r="17" spans="1:12" x14ac:dyDescent="0.2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</row>
    <row r="18" spans="1:12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</row>
    <row r="19" spans="1:12" x14ac:dyDescent="0.2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</row>
    <row r="20" spans="1:12" x14ac:dyDescent="0.2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2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2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</row>
    <row r="23" spans="1:12" x14ac:dyDescent="0.2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</row>
    <row r="24" spans="1:12" x14ac:dyDescent="0.2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</row>
    <row r="25" spans="1:12" x14ac:dyDescent="0.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</row>
    <row r="26" spans="1:12" ht="66.75" customHeight="1" x14ac:dyDescent="0.2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</row>
    <row r="27" spans="1:12" ht="23.25" x14ac:dyDescent="0.35">
      <c r="A27" s="7"/>
      <c r="B27" s="7"/>
      <c r="C27" s="7"/>
      <c r="D27" s="7"/>
      <c r="E27" s="7"/>
      <c r="F27" s="7"/>
      <c r="G27" s="7"/>
      <c r="H27" s="8"/>
      <c r="I27" s="9"/>
      <c r="J27" s="8"/>
      <c r="K27" s="8"/>
      <c r="L27" s="7"/>
    </row>
    <row r="28" spans="1:12" ht="14.45" customHeight="1" x14ac:dyDescent="0.25">
      <c r="A28" s="7"/>
      <c r="B28" s="7"/>
      <c r="C28" s="7"/>
      <c r="D28" s="7"/>
      <c r="E28" s="7"/>
      <c r="F28" s="7"/>
      <c r="G28" s="7"/>
      <c r="H28" s="58"/>
      <c r="I28" s="58"/>
      <c r="J28" s="56"/>
      <c r="K28" s="56"/>
      <c r="L28" s="10"/>
    </row>
    <row r="29" spans="1:12" x14ac:dyDescent="0.25">
      <c r="A29" s="7"/>
      <c r="B29" s="7"/>
      <c r="C29" s="7"/>
      <c r="D29" s="7"/>
      <c r="E29" s="7"/>
      <c r="F29" s="7"/>
      <c r="G29" s="7"/>
      <c r="H29" s="58"/>
      <c r="I29" s="58"/>
      <c r="J29" s="56"/>
      <c r="K29" s="56"/>
      <c r="L29" s="10"/>
    </row>
    <row r="30" spans="1:12" x14ac:dyDescent="0.25">
      <c r="A30" s="7"/>
      <c r="B30" s="7"/>
      <c r="C30" s="7"/>
      <c r="D30" s="7"/>
      <c r="E30" s="7"/>
      <c r="F30" s="7"/>
      <c r="G30" s="7"/>
      <c r="H30" s="58"/>
      <c r="I30" s="58"/>
      <c r="J30" s="56"/>
      <c r="K30" s="56"/>
      <c r="L30" s="10"/>
    </row>
    <row r="31" spans="1:12" ht="15" customHeight="1" x14ac:dyDescent="0.25">
      <c r="A31" s="7"/>
      <c r="B31" s="7"/>
      <c r="C31" s="7"/>
      <c r="D31" s="35"/>
      <c r="E31" s="35"/>
      <c r="F31" s="34"/>
      <c r="G31" s="34"/>
      <c r="H31" s="7"/>
      <c r="I31" s="7"/>
      <c r="J31" s="7"/>
      <c r="K31" s="7"/>
      <c r="L31" s="7"/>
    </row>
    <row r="32" spans="1:12" ht="21.75" customHeight="1" x14ac:dyDescent="0.25">
      <c r="A32" s="7"/>
      <c r="B32" s="7"/>
      <c r="C32" s="7"/>
      <c r="D32" s="36">
        <f>data!B15</f>
        <v>1.2447157214614901E-2</v>
      </c>
      <c r="E32" s="7"/>
      <c r="F32" s="34"/>
      <c r="G32" s="34"/>
      <c r="H32" s="7"/>
      <c r="I32" s="7"/>
      <c r="J32" s="7"/>
      <c r="K32" s="7"/>
      <c r="L32" s="7"/>
    </row>
    <row r="33" spans="1:12" x14ac:dyDescent="0.25">
      <c r="A33" s="7"/>
      <c r="B33" s="7"/>
      <c r="C33" s="7"/>
      <c r="D33" s="7"/>
      <c r="E33" s="11"/>
      <c r="F33" s="7"/>
      <c r="G33" s="7"/>
      <c r="H33" s="7"/>
      <c r="I33" s="7"/>
      <c r="J33" s="7"/>
      <c r="K33" s="7"/>
      <c r="L33" s="7"/>
    </row>
    <row r="34" spans="1:12" ht="23.25" x14ac:dyDescent="0.25">
      <c r="A34" s="7"/>
      <c r="B34" s="59"/>
      <c r="C34" s="59"/>
      <c r="D34" s="58"/>
      <c r="E34" s="58"/>
      <c r="F34" s="58"/>
      <c r="G34" s="58"/>
      <c r="H34" s="7"/>
      <c r="I34" s="7"/>
      <c r="J34" s="7"/>
      <c r="K34" s="7"/>
      <c r="L34" s="7"/>
    </row>
    <row r="35" spans="1:12" x14ac:dyDescent="0.25">
      <c r="A35" s="7"/>
      <c r="B35" s="7"/>
      <c r="C35" s="7"/>
      <c r="D35" s="58"/>
      <c r="E35" s="58"/>
      <c r="F35" s="58"/>
      <c r="G35" s="58"/>
      <c r="H35" s="7"/>
      <c r="I35" s="7"/>
      <c r="J35" s="7"/>
      <c r="K35" s="7"/>
      <c r="L35" s="7"/>
    </row>
    <row r="36" spans="1:12" x14ac:dyDescent="0.25">
      <c r="A36" s="7"/>
      <c r="B36" s="7"/>
      <c r="C36" s="7"/>
      <c r="D36" s="58"/>
      <c r="E36" s="58"/>
      <c r="F36" s="58"/>
      <c r="G36" s="58"/>
      <c r="H36" s="7"/>
      <c r="I36" s="7"/>
      <c r="J36" s="7"/>
      <c r="K36" s="7"/>
      <c r="L36" s="7"/>
    </row>
    <row r="37" spans="1:12" x14ac:dyDescent="0.25">
      <c r="A37" s="7"/>
      <c r="B37" s="7"/>
      <c r="C37" s="7"/>
      <c r="D37" s="58"/>
      <c r="E37" s="58"/>
      <c r="F37" s="58"/>
      <c r="G37" s="58"/>
      <c r="H37" s="7"/>
      <c r="I37" s="7"/>
      <c r="J37" s="7"/>
      <c r="K37" s="7"/>
      <c r="L37" s="7"/>
    </row>
  </sheetData>
  <mergeCells count="6">
    <mergeCell ref="J28:K30"/>
    <mergeCell ref="B8:B9"/>
    <mergeCell ref="D34:E37"/>
    <mergeCell ref="F34:G37"/>
    <mergeCell ref="B34:C34"/>
    <mergeCell ref="H28:I30"/>
  </mergeCells>
  <printOptions horizontalCentered="1" verticalCentered="1"/>
  <pageMargins left="0" right="0" top="0" bottom="0" header="0" footer="0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AE95B-6FD8-A549-A5CB-1B61A99DED4A}">
  <dimension ref="A1:K30"/>
  <sheetViews>
    <sheetView topLeftCell="A6" zoomScale="145" zoomScaleNormal="145" workbookViewId="0"/>
  </sheetViews>
  <sheetFormatPr defaultColWidth="0" defaultRowHeight="15" zeroHeight="1" x14ac:dyDescent="0.25"/>
  <cols>
    <col min="1" max="1" width="1.85546875" customWidth="1"/>
    <col min="2" max="2" width="5.140625" customWidth="1"/>
    <col min="3" max="7" width="8.85546875" customWidth="1"/>
    <col min="8" max="8" width="7.7109375" customWidth="1"/>
    <col min="9" max="9" width="2.85546875" customWidth="1"/>
    <col min="10" max="10" width="0.85546875" customWidth="1"/>
    <col min="11" max="11" width="0" hidden="1" customWidth="1"/>
    <col min="12" max="16384" width="8.85546875" hidden="1"/>
  </cols>
  <sheetData>
    <row r="1" spans="1:10" ht="9.75" customHeight="1" x14ac:dyDescent="0.25">
      <c r="A1" s="12"/>
      <c r="B1" s="12"/>
      <c r="C1" s="12"/>
      <c r="D1" s="12"/>
      <c r="E1" s="12"/>
      <c r="F1" s="12"/>
      <c r="G1" s="12"/>
      <c r="H1" s="12"/>
      <c r="I1" s="12"/>
      <c r="J1" s="12"/>
    </row>
    <row r="2" spans="1:10" ht="30" x14ac:dyDescent="0.65">
      <c r="A2" s="12"/>
      <c r="B2" s="37" t="str">
        <f>data!A18</f>
        <v>Alcohol Use</v>
      </c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2"/>
      <c r="B5" s="12"/>
      <c r="C5" s="12"/>
      <c r="D5" s="12"/>
      <c r="E5" s="12"/>
      <c r="F5" s="12"/>
      <c r="G5" s="12"/>
      <c r="H5" s="12"/>
      <c r="I5" s="12"/>
      <c r="J5" s="12"/>
    </row>
    <row r="6" spans="1:10" x14ac:dyDescent="0.25">
      <c r="A6" s="12"/>
      <c r="B6" s="12"/>
      <c r="C6" s="12"/>
      <c r="D6" s="12"/>
      <c r="E6" s="12"/>
      <c r="F6" s="12"/>
      <c r="G6" s="12"/>
      <c r="H6" s="12"/>
      <c r="I6" s="12"/>
      <c r="J6" s="12"/>
    </row>
    <row r="7" spans="1:10" x14ac:dyDescent="0.25">
      <c r="A7" s="12"/>
      <c r="B7" s="12"/>
      <c r="C7" s="12"/>
      <c r="D7" s="12"/>
      <c r="E7" s="12"/>
      <c r="F7" s="12"/>
      <c r="G7" s="12"/>
      <c r="H7" s="12"/>
      <c r="I7" s="12"/>
      <c r="J7" s="12"/>
    </row>
    <row r="8" spans="1:10" x14ac:dyDescent="0.25">
      <c r="A8" s="12"/>
      <c r="B8" s="60"/>
      <c r="C8" s="61"/>
      <c r="D8" s="61"/>
      <c r="E8" s="61"/>
      <c r="F8" s="61"/>
      <c r="G8" s="12"/>
      <c r="H8" s="12"/>
      <c r="I8" s="12"/>
      <c r="J8" s="12"/>
    </row>
    <row r="9" spans="1:10" x14ac:dyDescent="0.25">
      <c r="A9" s="12"/>
      <c r="B9" s="60"/>
      <c r="C9" s="61"/>
      <c r="D9" s="61"/>
      <c r="E9" s="61"/>
      <c r="F9" s="61"/>
      <c r="G9" s="12"/>
      <c r="H9" s="12"/>
      <c r="I9" s="12"/>
      <c r="J9" s="12"/>
    </row>
    <row r="10" spans="1:10" x14ac:dyDescent="0.25">
      <c r="A10" s="12"/>
      <c r="B10" s="62"/>
      <c r="C10" s="63"/>
      <c r="D10" s="12"/>
      <c r="E10" s="12"/>
      <c r="F10" s="12"/>
      <c r="G10" s="12"/>
      <c r="H10" s="12"/>
      <c r="I10" s="12"/>
      <c r="J10" s="12"/>
    </row>
    <row r="11" spans="1:10" x14ac:dyDescent="0.25">
      <c r="A11" s="12"/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5">
      <c r="A12" s="12"/>
      <c r="B12" s="12"/>
      <c r="C12" s="12"/>
      <c r="D12" s="12"/>
      <c r="E12" s="12"/>
      <c r="F12" s="12"/>
      <c r="G12" s="12"/>
      <c r="H12" s="12"/>
      <c r="I12" s="12"/>
      <c r="J12" s="12"/>
    </row>
    <row r="13" spans="1:10" x14ac:dyDescent="0.25">
      <c r="A13" s="12"/>
      <c r="B13" s="12"/>
      <c r="C13" s="12"/>
      <c r="D13" s="12"/>
      <c r="E13" s="12"/>
      <c r="F13" s="12"/>
      <c r="G13" s="12"/>
      <c r="H13" s="12"/>
      <c r="I13" s="12"/>
      <c r="J13" s="12"/>
    </row>
    <row r="14" spans="1:10" x14ac:dyDescent="0.25">
      <c r="A14" s="12"/>
      <c r="B14" s="12"/>
      <c r="C14" s="12"/>
      <c r="D14" s="12"/>
      <c r="E14" s="12"/>
      <c r="F14" s="12"/>
      <c r="G14" s="12"/>
      <c r="H14" s="12"/>
      <c r="I14" s="12"/>
      <c r="J14" s="12"/>
    </row>
    <row r="15" spans="1:10" x14ac:dyDescent="0.25">
      <c r="A15" s="12"/>
      <c r="B15" s="12"/>
      <c r="C15" s="12"/>
      <c r="D15" s="12"/>
      <c r="E15" s="12"/>
      <c r="F15" s="12"/>
      <c r="G15" s="12"/>
      <c r="H15" s="12"/>
      <c r="I15" s="12"/>
      <c r="J15" s="12"/>
    </row>
    <row r="16" spans="1:10" x14ac:dyDescent="0.25">
      <c r="A16" s="12"/>
      <c r="B16" s="12"/>
      <c r="C16" s="12"/>
      <c r="D16" s="12"/>
      <c r="E16" s="12"/>
      <c r="F16" s="12"/>
      <c r="G16" s="12"/>
      <c r="H16" s="12"/>
      <c r="I16" s="12"/>
      <c r="J16" s="12"/>
    </row>
    <row r="17" spans="1:11" x14ac:dyDescent="0.25">
      <c r="A17" s="12"/>
      <c r="B17" s="60"/>
      <c r="C17" s="64"/>
      <c r="D17" s="64"/>
      <c r="E17" s="64"/>
      <c r="F17" s="64"/>
      <c r="G17" s="12"/>
      <c r="H17" s="12"/>
      <c r="I17" s="12"/>
      <c r="J17" s="12"/>
    </row>
    <row r="18" spans="1:11" x14ac:dyDescent="0.25">
      <c r="A18" s="12"/>
      <c r="B18" s="60"/>
      <c r="C18" s="64"/>
      <c r="D18" s="64"/>
      <c r="E18" s="64"/>
      <c r="F18" s="64"/>
      <c r="G18" s="12"/>
      <c r="H18" s="12"/>
      <c r="I18" s="12"/>
      <c r="J18" s="12"/>
    </row>
    <row r="19" spans="1:11" x14ac:dyDescent="0.25">
      <c r="A19" s="12"/>
      <c r="B19" s="12"/>
      <c r="C19" s="12"/>
      <c r="D19" s="12"/>
      <c r="E19" s="12"/>
      <c r="F19" s="12"/>
      <c r="G19" s="12"/>
      <c r="H19" s="12"/>
      <c r="I19" s="12"/>
      <c r="J19" s="12"/>
    </row>
    <row r="20" spans="1:11" x14ac:dyDescent="0.25">
      <c r="A20" s="12"/>
      <c r="B20" s="12"/>
      <c r="C20" s="30"/>
      <c r="D20" s="12"/>
      <c r="E20" s="12"/>
      <c r="F20" s="12"/>
      <c r="G20" s="12"/>
      <c r="H20" s="12"/>
      <c r="I20" s="12"/>
      <c r="J20" s="12"/>
    </row>
    <row r="21" spans="1:11" x14ac:dyDescent="0.25">
      <c r="A21" s="12"/>
      <c r="B21" s="12"/>
      <c r="C21" s="12"/>
      <c r="D21" s="12"/>
      <c r="E21" s="12"/>
      <c r="F21" s="12"/>
      <c r="G21" s="12"/>
      <c r="H21" s="12"/>
      <c r="I21" s="12"/>
      <c r="J21" s="12"/>
    </row>
    <row r="22" spans="1:11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</row>
    <row r="23" spans="1:11" x14ac:dyDescent="0.25">
      <c r="A23" s="12"/>
      <c r="B23" s="12"/>
      <c r="C23" s="12"/>
      <c r="D23" s="12"/>
      <c r="E23" s="12"/>
      <c r="F23" s="12"/>
      <c r="G23" s="12"/>
      <c r="H23" s="12"/>
      <c r="I23" s="12"/>
      <c r="J23" s="12"/>
    </row>
    <row r="24" spans="1:11" x14ac:dyDescent="0.25">
      <c r="A24" s="12"/>
      <c r="B24" s="12"/>
      <c r="C24" s="12"/>
      <c r="D24" s="12"/>
      <c r="E24" s="12"/>
      <c r="F24" s="13"/>
      <c r="G24" s="12"/>
      <c r="H24" s="12"/>
      <c r="I24" s="12"/>
      <c r="J24" s="12"/>
    </row>
    <row r="25" spans="1:11" hidden="1" x14ac:dyDescent="0.25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</row>
    <row r="26" spans="1:11" ht="15" hidden="1" customHeight="1" x14ac:dyDescent="0.25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</row>
    <row r="27" spans="1:11" ht="15" hidden="1" customHeight="1" x14ac:dyDescent="0.25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</row>
    <row r="28" spans="1:11" hidden="1" x14ac:dyDescent="0.25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</row>
    <row r="29" spans="1:11" hidden="1" x14ac:dyDescent="0.25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</row>
    <row r="30" spans="1:11" hidden="1" x14ac:dyDescent="0.2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</row>
  </sheetData>
  <mergeCells count="5">
    <mergeCell ref="B8:B9"/>
    <mergeCell ref="C8:F9"/>
    <mergeCell ref="B10:C10"/>
    <mergeCell ref="B17:B18"/>
    <mergeCell ref="C17:F18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474E8-5E1B-DD49-A99C-21D242536443}">
  <dimension ref="A1:N19"/>
  <sheetViews>
    <sheetView topLeftCell="A3" zoomScale="145" zoomScaleNormal="145" workbookViewId="0">
      <selection activeCell="F6" sqref="F6"/>
    </sheetView>
  </sheetViews>
  <sheetFormatPr defaultColWidth="0" defaultRowHeight="19.5" zeroHeight="1" x14ac:dyDescent="0.45"/>
  <cols>
    <col min="1" max="1" width="3.42578125" style="41" customWidth="1"/>
    <col min="2" max="2" width="5.140625" style="41" customWidth="1"/>
    <col min="3" max="7" width="8.85546875" style="41" customWidth="1"/>
    <col min="8" max="8" width="7.7109375" style="41" customWidth="1"/>
    <col min="9" max="9" width="5.42578125" style="41" customWidth="1"/>
    <col min="10" max="10" width="8.85546875" style="41" hidden="1" customWidth="1"/>
    <col min="11" max="14" width="0" style="41" hidden="1" customWidth="1"/>
    <col min="15" max="16384" width="10.7109375" style="41" hidden="1"/>
  </cols>
  <sheetData>
    <row r="1" spans="1:9" ht="9.75" customHeight="1" x14ac:dyDescent="0.45">
      <c r="A1" s="40"/>
      <c r="B1" s="40"/>
      <c r="C1" s="40"/>
      <c r="D1" s="40"/>
      <c r="E1" s="40"/>
      <c r="F1" s="40"/>
      <c r="G1" s="40"/>
      <c r="H1" s="40"/>
      <c r="I1" s="40"/>
    </row>
    <row r="2" spans="1:9" ht="30" x14ac:dyDescent="0.65">
      <c r="A2" s="40"/>
      <c r="B2" s="39" t="str">
        <f>data!A31</f>
        <v>Diet</v>
      </c>
      <c r="C2" s="40"/>
      <c r="D2" s="40"/>
      <c r="E2" s="40"/>
      <c r="F2" s="40"/>
      <c r="G2" s="40"/>
      <c r="H2" s="40"/>
      <c r="I2" s="40"/>
    </row>
    <row r="3" spans="1:9" x14ac:dyDescent="0.45">
      <c r="A3" s="40"/>
      <c r="B3" s="40"/>
      <c r="C3" s="40"/>
      <c r="D3" s="40"/>
      <c r="E3" s="40"/>
      <c r="F3" s="40"/>
      <c r="G3" s="40"/>
      <c r="H3" s="40"/>
      <c r="I3" s="40"/>
    </row>
    <row r="4" spans="1:9" x14ac:dyDescent="0.45">
      <c r="A4" s="40"/>
      <c r="B4" s="40"/>
      <c r="C4" s="40"/>
      <c r="D4" s="40"/>
      <c r="E4" s="40"/>
      <c r="F4" s="40"/>
      <c r="G4" s="40"/>
      <c r="H4" s="40"/>
      <c r="I4" s="40"/>
    </row>
    <row r="5" spans="1:9" x14ac:dyDescent="0.45">
      <c r="A5" s="40"/>
      <c r="B5" s="65" t="str">
        <f>data!B33 &amp; data!A32</f>
        <v>4.6 days</v>
      </c>
      <c r="C5" s="66"/>
      <c r="D5" s="40"/>
      <c r="E5" s="40"/>
      <c r="F5" s="40"/>
      <c r="G5" s="40"/>
      <c r="H5" s="40"/>
      <c r="I5" s="40"/>
    </row>
    <row r="6" spans="1:9" x14ac:dyDescent="0.45">
      <c r="A6" s="40"/>
      <c r="B6" s="40"/>
      <c r="C6" s="40"/>
      <c r="D6" s="40"/>
      <c r="E6" s="42"/>
      <c r="F6" s="42"/>
      <c r="G6" s="40"/>
      <c r="H6" s="40"/>
      <c r="I6" s="40"/>
    </row>
    <row r="7" spans="1:9" ht="20.25" x14ac:dyDescent="0.45">
      <c r="A7" s="40"/>
      <c r="B7" s="43"/>
      <c r="C7" s="42"/>
      <c r="D7" s="42"/>
      <c r="E7" s="42"/>
      <c r="F7" s="42"/>
      <c r="G7" s="40"/>
      <c r="H7" s="40"/>
      <c r="I7" s="40"/>
    </row>
    <row r="8" spans="1:9" ht="20.25" x14ac:dyDescent="0.45">
      <c r="A8" s="40"/>
      <c r="B8" s="43"/>
      <c r="C8" s="42"/>
      <c r="D8" s="42"/>
      <c r="E8" s="42"/>
      <c r="F8" s="42"/>
      <c r="G8" s="40"/>
      <c r="H8" s="40"/>
      <c r="I8" s="40"/>
    </row>
    <row r="9" spans="1:9" x14ac:dyDescent="0.45">
      <c r="A9" s="40"/>
      <c r="B9" s="40"/>
      <c r="C9" s="40"/>
      <c r="D9" s="40"/>
      <c r="E9" s="40"/>
      <c r="F9" s="40"/>
      <c r="G9" s="40"/>
      <c r="H9" s="40"/>
      <c r="I9" s="40"/>
    </row>
    <row r="10" spans="1:9" x14ac:dyDescent="0.45">
      <c r="A10" s="40"/>
      <c r="B10" s="40"/>
      <c r="C10" s="40"/>
      <c r="D10" s="40"/>
      <c r="E10" s="40"/>
      <c r="F10" s="40"/>
      <c r="G10" s="40"/>
      <c r="H10" s="40"/>
      <c r="I10" s="40"/>
    </row>
    <row r="11" spans="1:9" x14ac:dyDescent="0.45">
      <c r="A11" s="40"/>
      <c r="B11" s="65" t="str">
        <f>data!B34 &amp; data!A32</f>
        <v>5.6 days</v>
      </c>
      <c r="C11" s="66"/>
      <c r="D11" s="40"/>
      <c r="E11" s="40"/>
      <c r="F11" s="40"/>
      <c r="G11" s="40"/>
      <c r="H11" s="40"/>
      <c r="I11" s="40"/>
    </row>
    <row r="12" spans="1:9" x14ac:dyDescent="0.45">
      <c r="A12" s="40"/>
      <c r="B12" s="40"/>
      <c r="C12" s="40"/>
      <c r="D12" s="42"/>
      <c r="E12" s="42"/>
      <c r="F12" s="42"/>
      <c r="G12" s="40"/>
      <c r="H12" s="40"/>
      <c r="I12" s="40"/>
    </row>
    <row r="13" spans="1:9" ht="20.25" x14ac:dyDescent="0.45">
      <c r="A13" s="40"/>
      <c r="B13" s="43"/>
      <c r="C13" s="42"/>
      <c r="D13" s="42"/>
      <c r="E13" s="42"/>
      <c r="F13" s="42"/>
      <c r="G13" s="40"/>
      <c r="H13" s="40"/>
      <c r="I13" s="40"/>
    </row>
    <row r="14" spans="1:9" x14ac:dyDescent="0.45">
      <c r="A14" s="40"/>
      <c r="B14" s="40"/>
      <c r="C14" s="40"/>
      <c r="D14" s="40"/>
      <c r="E14" s="40"/>
      <c r="F14" s="40"/>
      <c r="G14" s="40"/>
      <c r="H14" s="40"/>
      <c r="I14" s="40"/>
    </row>
    <row r="15" spans="1:9" x14ac:dyDescent="0.45">
      <c r="A15" s="40"/>
      <c r="B15" s="40"/>
      <c r="C15" s="40"/>
      <c r="D15" s="40"/>
      <c r="E15" s="40"/>
      <c r="F15" s="40"/>
      <c r="G15" s="40"/>
      <c r="H15" s="40"/>
      <c r="I15" s="40"/>
    </row>
    <row r="16" spans="1:9" x14ac:dyDescent="0.45">
      <c r="A16" s="40"/>
      <c r="B16" s="40"/>
      <c r="C16" s="40"/>
      <c r="D16" s="40"/>
      <c r="E16" s="40"/>
      <c r="F16" s="40"/>
      <c r="G16" s="40"/>
      <c r="H16" s="40"/>
      <c r="I16" s="40"/>
    </row>
    <row r="17" spans="1:14" x14ac:dyDescent="0.45">
      <c r="A17" s="40"/>
      <c r="B17" s="40"/>
      <c r="C17" s="40"/>
      <c r="D17" s="40"/>
      <c r="E17" s="40"/>
      <c r="F17" s="40"/>
      <c r="G17" s="40"/>
      <c r="H17" s="40"/>
      <c r="I17" s="40"/>
    </row>
    <row r="18" spans="1:14" ht="20.25" x14ac:dyDescent="0.45">
      <c r="A18" s="40"/>
      <c r="B18" s="43"/>
      <c r="C18" s="42"/>
      <c r="D18" s="42"/>
      <c r="E18" s="42"/>
      <c r="F18" s="42"/>
      <c r="G18" s="40"/>
      <c r="H18" s="40"/>
      <c r="I18" s="40"/>
      <c r="N18" s="44"/>
    </row>
    <row r="19" spans="1:14" x14ac:dyDescent="0.45">
      <c r="A19" s="40"/>
      <c r="B19" s="45"/>
      <c r="C19" s="40"/>
      <c r="D19" s="40"/>
      <c r="E19" s="40"/>
      <c r="F19" s="40"/>
      <c r="G19" s="40"/>
      <c r="H19" s="40"/>
      <c r="I19" s="40"/>
    </row>
  </sheetData>
  <mergeCells count="2">
    <mergeCell ref="B11:C11"/>
    <mergeCell ref="B5:C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DF701-2C73-E047-A2C4-F4F03519054D}">
  <dimension ref="A1:I37"/>
  <sheetViews>
    <sheetView topLeftCell="A20" zoomScale="130" zoomScaleNormal="130" workbookViewId="0">
      <selection activeCell="H33" sqref="H33"/>
    </sheetView>
  </sheetViews>
  <sheetFormatPr defaultColWidth="0" defaultRowHeight="15" zeroHeight="1" x14ac:dyDescent="0.25"/>
  <cols>
    <col min="1" max="1" width="3.42578125" customWidth="1"/>
    <col min="2" max="2" width="5.140625" customWidth="1"/>
    <col min="3" max="8" width="10.7109375" customWidth="1"/>
    <col min="9" max="9" width="10.85546875" customWidth="1"/>
    <col min="10" max="16384" width="10.7109375" hidden="1"/>
  </cols>
  <sheetData>
    <row r="1" spans="1:9" x14ac:dyDescent="0.25">
      <c r="A1" s="17"/>
      <c r="B1" s="17"/>
      <c r="C1" s="17"/>
      <c r="D1" s="17"/>
      <c r="E1" s="17"/>
      <c r="F1" s="17"/>
      <c r="G1" s="17"/>
      <c r="H1" s="17"/>
      <c r="I1" s="17"/>
    </row>
    <row r="2" spans="1:9" ht="30" x14ac:dyDescent="0.65">
      <c r="A2" s="17"/>
      <c r="B2" s="46" t="str">
        <f>data!A40</f>
        <v>Physical Activity</v>
      </c>
      <c r="C2" s="17"/>
      <c r="D2" s="17"/>
      <c r="E2" s="17"/>
      <c r="F2" s="17"/>
      <c r="G2" s="17"/>
      <c r="H2" s="17"/>
      <c r="I2" s="17"/>
    </row>
    <row r="3" spans="1:9" x14ac:dyDescent="0.25">
      <c r="A3" s="17"/>
      <c r="B3" s="17"/>
      <c r="C3" s="17"/>
      <c r="D3" s="17"/>
      <c r="E3" s="17"/>
      <c r="F3" s="17"/>
      <c r="G3" s="17"/>
      <c r="H3" s="17"/>
      <c r="I3" s="17"/>
    </row>
    <row r="4" spans="1:9" x14ac:dyDescent="0.25">
      <c r="A4" s="17"/>
      <c r="B4" s="17"/>
      <c r="C4" s="17"/>
      <c r="D4" s="17"/>
      <c r="E4" s="17"/>
      <c r="F4" s="17"/>
      <c r="G4" s="17"/>
      <c r="H4" s="17"/>
      <c r="I4" s="17"/>
    </row>
    <row r="5" spans="1:9" x14ac:dyDescent="0.25">
      <c r="A5" s="17"/>
      <c r="B5" s="17"/>
      <c r="C5" s="17"/>
      <c r="D5" s="17"/>
      <c r="E5" s="17"/>
      <c r="F5" s="17"/>
      <c r="G5" s="17"/>
      <c r="H5" s="17"/>
      <c r="I5" s="17"/>
    </row>
    <row r="6" spans="1:9" x14ac:dyDescent="0.25">
      <c r="A6" s="17"/>
      <c r="B6" s="17"/>
      <c r="C6" s="17"/>
      <c r="D6" s="17"/>
      <c r="E6" s="17"/>
      <c r="F6" s="17"/>
      <c r="G6" s="17"/>
      <c r="H6" s="17"/>
      <c r="I6" s="17"/>
    </row>
    <row r="7" spans="1:9" ht="15.75" x14ac:dyDescent="0.25">
      <c r="A7" s="17"/>
      <c r="B7" s="18"/>
      <c r="C7" s="17"/>
      <c r="D7" s="17"/>
      <c r="E7" s="17"/>
      <c r="F7" s="17"/>
      <c r="G7" s="17"/>
      <c r="H7" s="17"/>
      <c r="I7" s="17"/>
    </row>
    <row r="8" spans="1:9" x14ac:dyDescent="0.25">
      <c r="A8" s="17"/>
      <c r="B8" s="20"/>
      <c r="C8" s="17"/>
      <c r="D8" s="17"/>
      <c r="E8" s="17"/>
      <c r="F8" s="17"/>
      <c r="G8" s="17"/>
      <c r="H8" s="17"/>
      <c r="I8" s="17"/>
    </row>
    <row r="9" spans="1:9" x14ac:dyDescent="0.25">
      <c r="A9" s="17"/>
      <c r="B9" s="17"/>
      <c r="C9" s="17"/>
      <c r="D9" s="17"/>
      <c r="E9" s="17"/>
      <c r="F9" s="17"/>
      <c r="G9" s="17"/>
      <c r="H9" s="17"/>
      <c r="I9" s="17"/>
    </row>
    <row r="10" spans="1:9" x14ac:dyDescent="0.25">
      <c r="A10" s="17"/>
      <c r="B10" s="17"/>
      <c r="C10" s="17"/>
      <c r="D10" s="17"/>
      <c r="E10" s="17"/>
      <c r="F10" s="17"/>
      <c r="G10" s="17"/>
      <c r="H10" s="17"/>
      <c r="I10" s="17"/>
    </row>
    <row r="11" spans="1:9" ht="15.75" x14ac:dyDescent="0.25">
      <c r="A11" s="17"/>
      <c r="B11" s="18"/>
      <c r="C11" s="17"/>
      <c r="D11" s="17"/>
      <c r="E11" s="17"/>
      <c r="F11" s="17"/>
      <c r="G11" s="17"/>
      <c r="H11" s="17"/>
      <c r="I11" s="17"/>
    </row>
    <row r="12" spans="1:9" x14ac:dyDescent="0.25">
      <c r="A12" s="17"/>
      <c r="B12" s="17"/>
      <c r="C12" s="17"/>
      <c r="D12" s="17"/>
      <c r="E12" s="17"/>
      <c r="F12" s="17"/>
      <c r="G12" s="17"/>
      <c r="H12" s="17"/>
      <c r="I12" s="17"/>
    </row>
    <row r="13" spans="1:9" x14ac:dyDescent="0.25">
      <c r="A13" s="17"/>
      <c r="B13" s="17"/>
      <c r="C13" s="17"/>
      <c r="D13" s="17"/>
      <c r="E13" s="17"/>
      <c r="F13" s="17"/>
      <c r="G13" s="17"/>
      <c r="H13" s="17"/>
      <c r="I13" s="17"/>
    </row>
    <row r="14" spans="1:9" x14ac:dyDescent="0.25">
      <c r="A14" s="17"/>
      <c r="B14" s="17"/>
      <c r="C14" s="17"/>
      <c r="D14" s="17"/>
      <c r="E14" s="17"/>
      <c r="F14" s="17"/>
      <c r="G14" s="17"/>
      <c r="H14" s="17"/>
      <c r="I14" s="17"/>
    </row>
    <row r="15" spans="1:9" x14ac:dyDescent="0.25">
      <c r="A15" s="17"/>
      <c r="B15" s="17"/>
      <c r="C15" s="17"/>
      <c r="D15" s="17"/>
      <c r="E15" s="17"/>
      <c r="F15" s="17"/>
      <c r="G15" s="17"/>
      <c r="H15" s="17"/>
      <c r="I15" s="17"/>
    </row>
    <row r="16" spans="1:9" ht="15.75" x14ac:dyDescent="0.25">
      <c r="A16" s="17"/>
      <c r="B16" s="18"/>
      <c r="C16" s="17"/>
      <c r="D16" s="17"/>
      <c r="E16" s="17"/>
      <c r="F16" s="17"/>
      <c r="G16" s="17"/>
      <c r="H16" s="17"/>
      <c r="I16" s="17"/>
    </row>
    <row r="17" spans="1:9" x14ac:dyDescent="0.25">
      <c r="A17" s="17"/>
      <c r="B17" s="19"/>
      <c r="C17" s="17"/>
      <c r="D17" s="17"/>
      <c r="E17" s="17"/>
      <c r="F17" s="17"/>
      <c r="G17" s="17"/>
      <c r="H17" s="17"/>
      <c r="I17" s="17"/>
    </row>
    <row r="18" spans="1:9" x14ac:dyDescent="0.25">
      <c r="A18" s="17"/>
      <c r="B18" s="17"/>
      <c r="C18" s="17"/>
      <c r="D18" s="17"/>
      <c r="E18" s="17"/>
      <c r="F18" s="17"/>
      <c r="G18" s="17"/>
      <c r="H18" s="17"/>
      <c r="I18" s="17"/>
    </row>
    <row r="19" spans="1:9" x14ac:dyDescent="0.25">
      <c r="A19" s="17"/>
      <c r="B19" s="17"/>
      <c r="C19" s="17"/>
      <c r="D19" s="17"/>
      <c r="E19" s="17"/>
      <c r="F19" s="17"/>
      <c r="G19" s="17"/>
      <c r="H19" s="17"/>
      <c r="I19" s="17"/>
    </row>
    <row r="20" spans="1:9" x14ac:dyDescent="0.25">
      <c r="A20" s="17"/>
      <c r="B20" s="17"/>
      <c r="C20" s="17"/>
      <c r="D20" s="17"/>
      <c r="E20" s="17"/>
      <c r="F20" s="17"/>
      <c r="G20" s="17"/>
      <c r="H20" s="17"/>
      <c r="I20" s="17"/>
    </row>
    <row r="21" spans="1:9" x14ac:dyDescent="0.25">
      <c r="A21" s="17"/>
      <c r="B21" s="17"/>
      <c r="C21" s="17"/>
      <c r="D21" s="17"/>
      <c r="E21" s="17"/>
      <c r="F21" s="17"/>
      <c r="G21" s="17"/>
      <c r="H21" s="17"/>
      <c r="I21" s="17"/>
    </row>
    <row r="22" spans="1:9" ht="15.75" x14ac:dyDescent="0.25">
      <c r="A22" s="17"/>
      <c r="B22" s="18"/>
      <c r="C22" s="17"/>
      <c r="D22" s="17"/>
      <c r="E22" s="17"/>
      <c r="F22" s="17"/>
      <c r="G22" s="17"/>
      <c r="H22" s="17"/>
      <c r="I22" s="17"/>
    </row>
    <row r="23" spans="1:9" x14ac:dyDescent="0.25">
      <c r="A23" s="17"/>
      <c r="B23" s="19"/>
      <c r="C23" s="17"/>
      <c r="D23" s="17"/>
      <c r="E23" s="17"/>
      <c r="F23" s="17"/>
      <c r="G23" s="17"/>
      <c r="H23" s="17"/>
      <c r="I23" s="17"/>
    </row>
    <row r="24" spans="1:9" x14ac:dyDescent="0.25">
      <c r="A24" s="17"/>
      <c r="B24" s="17"/>
      <c r="C24" s="17"/>
      <c r="D24" s="17"/>
      <c r="E24" s="17"/>
      <c r="F24" s="17"/>
      <c r="G24" s="17"/>
      <c r="H24" s="17"/>
      <c r="I24" s="17"/>
    </row>
    <row r="25" spans="1:9" x14ac:dyDescent="0.25">
      <c r="A25" s="17"/>
      <c r="B25" s="17"/>
      <c r="C25" s="17"/>
      <c r="D25" s="17"/>
      <c r="E25" s="17"/>
      <c r="F25" s="17"/>
      <c r="G25" s="17"/>
      <c r="H25" s="17"/>
      <c r="I25" s="17"/>
    </row>
    <row r="26" spans="1:9" x14ac:dyDescent="0.25">
      <c r="A26" s="17"/>
      <c r="B26" s="17"/>
      <c r="C26" s="17"/>
      <c r="D26" s="17"/>
      <c r="E26" s="17"/>
      <c r="F26" s="17"/>
      <c r="G26" s="17"/>
      <c r="H26" s="17"/>
      <c r="I26" s="17"/>
    </row>
    <row r="27" spans="1:9" x14ac:dyDescent="0.25">
      <c r="A27" s="17"/>
      <c r="B27" s="17"/>
      <c r="C27" s="17"/>
      <c r="D27" s="17"/>
      <c r="E27" s="17"/>
      <c r="F27" s="17"/>
      <c r="G27" s="17"/>
      <c r="H27" s="17"/>
      <c r="I27" s="17"/>
    </row>
    <row r="28" spans="1:9" x14ac:dyDescent="0.25">
      <c r="A28" s="17"/>
      <c r="B28" s="19"/>
      <c r="C28" s="17"/>
      <c r="D28" s="17"/>
      <c r="E28" s="17"/>
      <c r="F28" s="17"/>
      <c r="G28" s="17"/>
      <c r="H28" s="17"/>
      <c r="I28" s="17"/>
    </row>
    <row r="29" spans="1:9" x14ac:dyDescent="0.25">
      <c r="A29" s="17"/>
      <c r="B29" s="17"/>
      <c r="C29" s="17"/>
      <c r="D29" s="17"/>
      <c r="E29" s="17"/>
      <c r="F29" s="17"/>
      <c r="G29" s="17"/>
      <c r="H29" s="17"/>
      <c r="I29" s="17"/>
    </row>
    <row r="30" spans="1:9" x14ac:dyDescent="0.25">
      <c r="A30" s="17"/>
      <c r="B30" s="17"/>
      <c r="C30" s="17"/>
      <c r="D30" s="17"/>
      <c r="E30" s="17"/>
      <c r="F30" s="17"/>
      <c r="G30" s="17"/>
      <c r="H30" s="17"/>
      <c r="I30" s="17"/>
    </row>
    <row r="31" spans="1:9" x14ac:dyDescent="0.25">
      <c r="A31" s="17"/>
      <c r="B31" s="17"/>
      <c r="C31" s="17"/>
      <c r="D31" s="17"/>
      <c r="E31" s="17"/>
      <c r="F31" s="17"/>
      <c r="G31" s="17"/>
      <c r="H31" s="17"/>
      <c r="I31" s="17"/>
    </row>
    <row r="32" spans="1:9" x14ac:dyDescent="0.25">
      <c r="A32" s="17"/>
      <c r="B32" s="17"/>
      <c r="C32" s="17"/>
      <c r="D32" s="17"/>
      <c r="E32" s="17"/>
      <c r="F32" s="17"/>
      <c r="G32" s="17"/>
      <c r="H32" s="17"/>
      <c r="I32" s="17"/>
    </row>
    <row r="33" spans="1:9" x14ac:dyDescent="0.25">
      <c r="A33" s="17"/>
      <c r="B33" s="17"/>
      <c r="C33" s="17"/>
      <c r="D33" s="17"/>
      <c r="E33" s="17"/>
      <c r="F33" s="17"/>
      <c r="G33" s="17"/>
      <c r="H33" s="17"/>
      <c r="I33" s="17"/>
    </row>
    <row r="34" spans="1:9" x14ac:dyDescent="0.25">
      <c r="A34" s="17"/>
      <c r="B34" s="17"/>
      <c r="C34" s="17"/>
      <c r="D34" s="17"/>
      <c r="E34" s="17"/>
      <c r="F34" s="17"/>
      <c r="G34" s="17"/>
      <c r="H34" s="17"/>
      <c r="I34" s="17"/>
    </row>
    <row r="35" spans="1:9" x14ac:dyDescent="0.25">
      <c r="A35" s="17"/>
      <c r="B35" s="17"/>
      <c r="C35" s="17"/>
      <c r="D35" s="17"/>
      <c r="E35" s="17"/>
      <c r="F35" s="17"/>
      <c r="G35" s="17"/>
      <c r="H35" s="17"/>
      <c r="I35" s="17"/>
    </row>
    <row r="36" spans="1:9" x14ac:dyDescent="0.25">
      <c r="A36" s="17"/>
      <c r="B36" s="17"/>
      <c r="C36" s="17"/>
      <c r="D36" s="17"/>
      <c r="E36" s="17"/>
      <c r="F36" s="17"/>
      <c r="G36" s="17"/>
      <c r="H36" s="17"/>
      <c r="I36" s="17"/>
    </row>
    <row r="37" spans="1:9" x14ac:dyDescent="0.25">
      <c r="A37" s="17"/>
      <c r="B37" s="17"/>
      <c r="C37" s="17"/>
      <c r="D37" s="17"/>
      <c r="E37" s="17"/>
      <c r="F37" s="17"/>
      <c r="G37" s="17"/>
      <c r="H37" s="17"/>
      <c r="I37" s="17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64EE0-3CA5-0A4A-9C57-FBB4D4CB540D}">
  <dimension ref="A1:H34"/>
  <sheetViews>
    <sheetView zoomScaleNormal="100" workbookViewId="0">
      <selection activeCell="G16" sqref="G16"/>
    </sheetView>
  </sheetViews>
  <sheetFormatPr defaultColWidth="0" defaultRowHeight="15" zeroHeight="1" x14ac:dyDescent="0.25"/>
  <cols>
    <col min="1" max="7" width="10.7109375" customWidth="1"/>
    <col min="8" max="8" width="3.7109375" customWidth="1"/>
    <col min="9" max="16384" width="10.7109375" hidden="1"/>
  </cols>
  <sheetData>
    <row r="1" spans="1:8" s="31" customFormat="1" x14ac:dyDescent="0.25">
      <c r="A1" s="21"/>
      <c r="B1" s="21"/>
      <c r="C1" s="21"/>
      <c r="D1" s="21"/>
      <c r="E1" s="21"/>
      <c r="F1" s="21"/>
      <c r="G1" s="21"/>
      <c r="H1" s="21"/>
    </row>
    <row r="2" spans="1:8" ht="30" x14ac:dyDescent="0.65">
      <c r="A2" s="47" t="str">
        <f>data!A55</f>
        <v>Body Mass Index</v>
      </c>
      <c r="B2" s="21"/>
      <c r="C2" s="21"/>
      <c r="D2" s="21"/>
      <c r="E2" s="21"/>
      <c r="F2" s="21"/>
      <c r="G2" s="21"/>
      <c r="H2" s="21"/>
    </row>
    <row r="3" spans="1:8" x14ac:dyDescent="0.25">
      <c r="A3" s="21"/>
      <c r="B3" s="21"/>
      <c r="C3" s="21"/>
      <c r="D3" s="21"/>
      <c r="E3" s="21"/>
      <c r="F3" s="21"/>
      <c r="G3" s="21"/>
      <c r="H3" s="21"/>
    </row>
    <row r="4" spans="1:8" x14ac:dyDescent="0.25">
      <c r="A4" s="21"/>
      <c r="B4" s="21"/>
      <c r="C4" s="21"/>
      <c r="D4" s="21"/>
      <c r="E4" s="21"/>
      <c r="F4" s="21"/>
      <c r="G4" s="21"/>
      <c r="H4" s="21"/>
    </row>
    <row r="5" spans="1:8" x14ac:dyDescent="0.25">
      <c r="A5" s="21"/>
      <c r="B5" s="21"/>
      <c r="C5" s="21"/>
      <c r="D5" s="21"/>
      <c r="E5" s="21"/>
      <c r="F5" s="21"/>
      <c r="G5" s="21"/>
      <c r="H5" s="21"/>
    </row>
    <row r="6" spans="1:8" x14ac:dyDescent="0.25">
      <c r="A6" s="21"/>
      <c r="B6" s="21"/>
      <c r="C6" s="21"/>
      <c r="D6" s="21"/>
      <c r="E6" s="21"/>
      <c r="F6" s="21"/>
      <c r="G6" s="21"/>
      <c r="H6" s="21"/>
    </row>
    <row r="7" spans="1:8" x14ac:dyDescent="0.25">
      <c r="A7" s="21"/>
      <c r="B7" s="21"/>
      <c r="C7" s="21"/>
      <c r="D7" s="21"/>
      <c r="E7" s="21"/>
      <c r="F7" s="21"/>
      <c r="G7" s="21"/>
      <c r="H7" s="21"/>
    </row>
    <row r="8" spans="1:8" x14ac:dyDescent="0.25">
      <c r="A8" s="21"/>
      <c r="B8" s="21"/>
      <c r="C8" s="21"/>
      <c r="D8" s="21"/>
      <c r="E8" s="21"/>
      <c r="F8" s="21"/>
      <c r="G8" s="21"/>
      <c r="H8" s="21"/>
    </row>
    <row r="9" spans="1:8" x14ac:dyDescent="0.25">
      <c r="A9" s="21"/>
      <c r="B9" s="21"/>
      <c r="C9" s="21"/>
      <c r="D9" s="21"/>
      <c r="E9" s="21"/>
      <c r="F9" s="21"/>
      <c r="G9" s="21"/>
      <c r="H9" s="21"/>
    </row>
    <row r="10" spans="1:8" x14ac:dyDescent="0.25">
      <c r="A10" s="21"/>
      <c r="B10" s="21"/>
      <c r="C10" s="21"/>
      <c r="D10" s="21"/>
      <c r="E10" s="21"/>
      <c r="F10" s="21"/>
      <c r="G10" s="21"/>
      <c r="H10" s="21"/>
    </row>
    <row r="11" spans="1:8" x14ac:dyDescent="0.25">
      <c r="A11" s="21"/>
      <c r="B11" s="21"/>
      <c r="C11" s="21"/>
      <c r="D11" s="21"/>
      <c r="E11" s="21"/>
      <c r="F11" s="21"/>
      <c r="G11" s="21"/>
      <c r="H11" s="21"/>
    </row>
    <row r="12" spans="1:8" x14ac:dyDescent="0.25">
      <c r="A12" s="21"/>
      <c r="B12" s="21"/>
      <c r="C12" s="21"/>
      <c r="D12" s="21"/>
      <c r="E12" s="21"/>
      <c r="F12" s="21"/>
      <c r="G12" s="21"/>
      <c r="H12" s="21"/>
    </row>
    <row r="13" spans="1:8" x14ac:dyDescent="0.25">
      <c r="A13" s="21"/>
      <c r="B13" s="21"/>
      <c r="C13" s="21"/>
      <c r="D13" s="21"/>
      <c r="E13" s="21"/>
      <c r="F13" s="21"/>
      <c r="G13" s="21"/>
      <c r="H13" s="21"/>
    </row>
    <row r="14" spans="1:8" x14ac:dyDescent="0.25">
      <c r="A14" s="21"/>
      <c r="B14" s="21"/>
      <c r="C14" s="21"/>
      <c r="D14" s="21"/>
      <c r="E14" s="21"/>
      <c r="F14" s="21"/>
      <c r="G14" s="21"/>
      <c r="H14" s="21"/>
    </row>
    <row r="15" spans="1:8" x14ac:dyDescent="0.25">
      <c r="A15" s="21"/>
      <c r="B15" s="21"/>
      <c r="C15" s="21"/>
      <c r="D15" s="21"/>
      <c r="E15" s="21"/>
      <c r="F15" s="21"/>
      <c r="G15" s="21"/>
      <c r="H15" s="21"/>
    </row>
    <row r="16" spans="1:8" x14ac:dyDescent="0.25">
      <c r="A16" s="21"/>
      <c r="B16" s="21"/>
      <c r="C16" s="21"/>
      <c r="D16" s="21"/>
      <c r="E16" s="21"/>
      <c r="F16" s="21"/>
      <c r="G16" s="21"/>
      <c r="H16" s="21"/>
    </row>
    <row r="17" spans="1:8" x14ac:dyDescent="0.25">
      <c r="A17" s="21"/>
      <c r="B17" s="21"/>
      <c r="C17" s="21"/>
      <c r="D17" s="21"/>
      <c r="E17" s="21"/>
      <c r="F17" s="21"/>
      <c r="G17" s="21"/>
      <c r="H17" s="21"/>
    </row>
    <row r="18" spans="1:8" x14ac:dyDescent="0.25">
      <c r="A18" s="21"/>
      <c r="B18" s="21"/>
      <c r="C18" s="21"/>
      <c r="D18" s="21"/>
      <c r="E18" s="21"/>
      <c r="F18" s="21"/>
      <c r="G18" s="21"/>
      <c r="H18" s="21"/>
    </row>
    <row r="19" spans="1:8" x14ac:dyDescent="0.25">
      <c r="A19" s="21"/>
      <c r="B19" s="21"/>
      <c r="C19" s="21"/>
      <c r="D19" s="21"/>
      <c r="E19" s="21"/>
      <c r="F19" s="21"/>
      <c r="G19" s="21"/>
      <c r="H19" s="21"/>
    </row>
    <row r="20" spans="1:8" x14ac:dyDescent="0.25">
      <c r="A20" s="21"/>
      <c r="B20" s="21"/>
      <c r="C20" s="21"/>
      <c r="D20" s="21"/>
      <c r="E20" s="21"/>
      <c r="F20" s="21"/>
      <c r="G20" s="21"/>
      <c r="H20" s="21"/>
    </row>
    <row r="21" spans="1:8" x14ac:dyDescent="0.25">
      <c r="A21" s="21"/>
      <c r="B21" s="21"/>
      <c r="C21" s="21"/>
      <c r="D21" s="21"/>
      <c r="E21" s="21"/>
      <c r="F21" s="21"/>
      <c r="G21" s="21"/>
      <c r="H21" s="21"/>
    </row>
    <row r="22" spans="1:8" x14ac:dyDescent="0.25">
      <c r="A22" s="21"/>
      <c r="B22" s="21"/>
      <c r="C22" s="21"/>
      <c r="D22" s="21"/>
      <c r="E22" s="21"/>
      <c r="F22" s="21"/>
      <c r="G22" s="21"/>
      <c r="H22" s="21"/>
    </row>
    <row r="23" spans="1:8" x14ac:dyDescent="0.25">
      <c r="A23" s="21"/>
      <c r="B23" s="21"/>
      <c r="C23" s="21"/>
      <c r="D23" s="21"/>
      <c r="E23" s="21"/>
      <c r="F23" s="21"/>
      <c r="G23" s="21"/>
      <c r="H23" s="21"/>
    </row>
    <row r="24" spans="1:8" x14ac:dyDescent="0.25">
      <c r="A24" s="21"/>
      <c r="B24" s="21"/>
      <c r="C24" s="21"/>
      <c r="D24" s="21"/>
      <c r="E24" s="21"/>
      <c r="F24" s="21"/>
      <c r="G24" s="21"/>
      <c r="H24" s="21"/>
    </row>
    <row r="25" spans="1:8" x14ac:dyDescent="0.25">
      <c r="A25" s="21"/>
      <c r="B25" s="21"/>
      <c r="C25" s="21"/>
      <c r="D25" s="21"/>
      <c r="E25" s="21"/>
      <c r="F25" s="21"/>
      <c r="G25" s="21"/>
      <c r="H25" s="21"/>
    </row>
    <row r="26" spans="1:8" x14ac:dyDescent="0.25">
      <c r="A26" s="21"/>
      <c r="B26" s="21"/>
      <c r="C26" s="21"/>
      <c r="D26" s="21"/>
      <c r="E26" s="21"/>
      <c r="F26" s="21"/>
      <c r="G26" s="21"/>
      <c r="H26" s="21"/>
    </row>
    <row r="27" spans="1:8" x14ac:dyDescent="0.25">
      <c r="A27" s="21"/>
      <c r="B27" s="21"/>
      <c r="C27" s="21"/>
      <c r="D27" s="21"/>
      <c r="E27" s="21"/>
      <c r="F27" s="21"/>
      <c r="G27" s="21"/>
      <c r="H27" s="21"/>
    </row>
    <row r="28" spans="1:8" x14ac:dyDescent="0.25">
      <c r="A28" s="21"/>
      <c r="B28" s="21"/>
      <c r="C28" s="21"/>
      <c r="D28" s="21"/>
      <c r="E28" s="21"/>
      <c r="F28" s="21"/>
      <c r="G28" s="21"/>
      <c r="H28" s="21"/>
    </row>
    <row r="29" spans="1:8" x14ac:dyDescent="0.25">
      <c r="A29" s="21"/>
      <c r="B29" s="21"/>
      <c r="C29" s="21"/>
      <c r="D29" s="21"/>
      <c r="E29" s="21"/>
      <c r="F29" s="21"/>
      <c r="G29" s="21"/>
      <c r="H29" s="21"/>
    </row>
    <row r="30" spans="1:8" x14ac:dyDescent="0.25">
      <c r="A30" s="21"/>
      <c r="B30" s="21"/>
      <c r="C30" s="21"/>
      <c r="D30" s="21"/>
      <c r="E30" s="21"/>
      <c r="F30" s="21"/>
      <c r="G30" s="21"/>
      <c r="H30" s="21"/>
    </row>
    <row r="31" spans="1:8" x14ac:dyDescent="0.25">
      <c r="A31" s="21"/>
      <c r="B31" s="21"/>
      <c r="C31" s="21"/>
      <c r="D31" s="21"/>
      <c r="E31" s="21"/>
      <c r="F31" s="21"/>
      <c r="G31" s="21"/>
      <c r="H31" s="21"/>
    </row>
    <row r="32" spans="1:8" x14ac:dyDescent="0.25">
      <c r="A32" s="21"/>
      <c r="B32" s="21"/>
      <c r="C32" s="21"/>
      <c r="D32" s="21"/>
      <c r="E32" s="21"/>
      <c r="F32" s="21"/>
      <c r="G32" s="21"/>
      <c r="H32" s="21"/>
    </row>
    <row r="33" spans="1:8" x14ac:dyDescent="0.25">
      <c r="A33" s="21"/>
      <c r="B33" s="21"/>
      <c r="C33" s="21"/>
      <c r="D33" s="21"/>
      <c r="E33" s="21"/>
      <c r="F33" s="21"/>
      <c r="G33" s="21"/>
      <c r="H33" s="21"/>
    </row>
    <row r="34" spans="1:8" x14ac:dyDescent="0.25">
      <c r="A34" s="21"/>
      <c r="B34" s="21"/>
      <c r="C34" s="21"/>
      <c r="D34" s="21"/>
      <c r="E34" s="21"/>
      <c r="F34" s="21"/>
      <c r="G34" s="21"/>
      <c r="H34" s="21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D6F25-5558-7C48-9BEF-BFEFD9887790}">
  <dimension ref="A1:H26"/>
  <sheetViews>
    <sheetView zoomScale="130" zoomScaleNormal="130" workbookViewId="0">
      <selection activeCell="H24" sqref="H24"/>
    </sheetView>
  </sheetViews>
  <sheetFormatPr defaultColWidth="0" defaultRowHeight="15" zeroHeight="1" x14ac:dyDescent="0.25"/>
  <cols>
    <col min="1" max="5" width="10.7109375" customWidth="1"/>
    <col min="6" max="6" width="5.85546875" customWidth="1"/>
    <col min="7" max="7" width="10.7109375" customWidth="1"/>
    <col min="8" max="8" width="8.28515625" customWidth="1"/>
    <col min="9" max="16384" width="10.7109375" hidden="1"/>
  </cols>
  <sheetData>
    <row r="1" spans="1:8" ht="30" x14ac:dyDescent="0.65">
      <c r="A1" s="48" t="str">
        <f>data!A65</f>
        <v>Raised Blood Pressure</v>
      </c>
      <c r="B1" s="22"/>
      <c r="C1" s="22"/>
      <c r="D1" s="22"/>
      <c r="E1" s="22"/>
      <c r="F1" s="22"/>
      <c r="G1" s="22"/>
      <c r="H1" s="22"/>
    </row>
    <row r="2" spans="1:8" x14ac:dyDescent="0.25">
      <c r="A2" s="22"/>
      <c r="B2" s="22"/>
      <c r="C2" s="22"/>
      <c r="D2" s="22"/>
      <c r="E2" s="22"/>
      <c r="F2" s="22"/>
      <c r="G2" s="22"/>
      <c r="H2" s="22"/>
    </row>
    <row r="3" spans="1:8" x14ac:dyDescent="0.25">
      <c r="A3" s="22"/>
      <c r="B3" s="22"/>
      <c r="C3" s="22"/>
      <c r="D3" s="22"/>
      <c r="E3" s="22"/>
      <c r="F3" s="22"/>
      <c r="G3" s="22"/>
      <c r="H3" s="22"/>
    </row>
    <row r="4" spans="1:8" x14ac:dyDescent="0.25">
      <c r="A4" s="22"/>
      <c r="B4" s="22"/>
      <c r="C4" s="22"/>
      <c r="D4" s="22"/>
      <c r="E4" s="22"/>
      <c r="F4" s="22"/>
      <c r="G4" s="22"/>
      <c r="H4" s="22"/>
    </row>
    <row r="5" spans="1:8" x14ac:dyDescent="0.25">
      <c r="A5" s="22"/>
      <c r="B5" s="22"/>
      <c r="C5" s="22"/>
      <c r="D5" s="22"/>
      <c r="E5" s="22"/>
      <c r="F5" s="22"/>
      <c r="G5" s="22"/>
      <c r="H5" s="22"/>
    </row>
    <row r="6" spans="1:8" x14ac:dyDescent="0.25">
      <c r="A6" s="22"/>
      <c r="B6" s="22"/>
      <c r="C6" s="22"/>
      <c r="D6" s="22"/>
      <c r="E6" s="22"/>
      <c r="F6" s="22"/>
      <c r="G6" s="22"/>
      <c r="H6" s="22"/>
    </row>
    <row r="7" spans="1:8" x14ac:dyDescent="0.25">
      <c r="A7" s="22"/>
      <c r="B7" s="22"/>
      <c r="C7" s="22"/>
      <c r="D7" s="22"/>
      <c r="E7" s="22"/>
      <c r="F7" s="22"/>
      <c r="G7" s="22"/>
      <c r="H7" s="22"/>
    </row>
    <row r="8" spans="1:8" x14ac:dyDescent="0.25">
      <c r="A8" s="22"/>
      <c r="B8" s="22"/>
      <c r="C8" s="22"/>
      <c r="D8" s="22"/>
      <c r="E8" s="22"/>
      <c r="F8" s="22"/>
      <c r="G8" s="22"/>
      <c r="H8" s="22"/>
    </row>
    <row r="9" spans="1:8" x14ac:dyDescent="0.25">
      <c r="A9" s="22"/>
      <c r="B9" s="22"/>
      <c r="C9" s="22"/>
      <c r="D9" s="22"/>
      <c r="E9" s="22"/>
      <c r="F9" s="22"/>
      <c r="G9" s="22"/>
      <c r="H9" s="22"/>
    </row>
    <row r="10" spans="1:8" s="31" customFormat="1" x14ac:dyDescent="0.25">
      <c r="A10" s="22"/>
      <c r="B10" s="22"/>
      <c r="C10" s="22"/>
      <c r="D10" s="22"/>
      <c r="E10" s="22"/>
      <c r="F10" s="22"/>
      <c r="G10" s="22"/>
      <c r="H10" s="22"/>
    </row>
    <row r="11" spans="1:8" x14ac:dyDescent="0.25">
      <c r="A11" s="22"/>
      <c r="B11" s="22"/>
      <c r="C11" s="22"/>
      <c r="D11" s="22"/>
      <c r="E11" s="22"/>
      <c r="F11" s="22"/>
      <c r="G11" s="22"/>
      <c r="H11" s="22"/>
    </row>
    <row r="12" spans="1:8" x14ac:dyDescent="0.25">
      <c r="A12" s="22"/>
      <c r="B12" s="22"/>
      <c r="C12" s="22"/>
      <c r="D12" s="22"/>
      <c r="E12" s="22"/>
      <c r="F12" s="22"/>
      <c r="G12" s="22"/>
      <c r="H12" s="22"/>
    </row>
    <row r="13" spans="1:8" x14ac:dyDescent="0.25">
      <c r="A13" s="22"/>
      <c r="B13" s="22"/>
      <c r="C13" s="22"/>
      <c r="D13" s="22"/>
      <c r="E13" s="22"/>
      <c r="F13" s="22"/>
      <c r="G13" s="22"/>
      <c r="H13" s="22"/>
    </row>
    <row r="14" spans="1:8" x14ac:dyDescent="0.25">
      <c r="A14" s="22"/>
      <c r="B14" s="22"/>
      <c r="C14" s="22"/>
      <c r="D14" s="22"/>
      <c r="E14" s="22"/>
      <c r="F14" s="22"/>
      <c r="G14" s="22"/>
      <c r="H14" s="22"/>
    </row>
    <row r="15" spans="1:8" x14ac:dyDescent="0.25">
      <c r="A15" s="22"/>
      <c r="B15" s="22"/>
      <c r="C15" s="22"/>
      <c r="D15" s="22"/>
      <c r="E15" s="22"/>
      <c r="F15" s="22"/>
      <c r="G15" s="22"/>
      <c r="H15" s="22"/>
    </row>
    <row r="16" spans="1:8" x14ac:dyDescent="0.25">
      <c r="A16" s="22"/>
      <c r="B16" s="22"/>
      <c r="C16" s="22"/>
      <c r="D16" s="22"/>
      <c r="E16" s="22"/>
      <c r="F16" s="22"/>
      <c r="G16" s="22"/>
      <c r="H16" s="22"/>
    </row>
    <row r="17" spans="1:8" x14ac:dyDescent="0.25">
      <c r="A17" s="22"/>
      <c r="B17" s="22"/>
      <c r="C17" s="22"/>
      <c r="D17" s="22"/>
      <c r="E17" s="22"/>
      <c r="F17" s="22"/>
      <c r="G17" s="22"/>
      <c r="H17" s="22"/>
    </row>
    <row r="18" spans="1:8" x14ac:dyDescent="0.25">
      <c r="A18" s="22"/>
      <c r="B18" s="22"/>
      <c r="C18" s="22"/>
      <c r="D18" s="22"/>
      <c r="E18" s="22"/>
      <c r="F18" s="22"/>
      <c r="G18" s="22"/>
      <c r="H18" s="22"/>
    </row>
    <row r="19" spans="1:8" x14ac:dyDescent="0.25">
      <c r="A19" s="22"/>
      <c r="B19" s="22"/>
      <c r="C19" s="22"/>
      <c r="D19" s="22"/>
      <c r="E19" s="22"/>
      <c r="F19" s="22"/>
      <c r="G19" s="22"/>
      <c r="H19" s="22"/>
    </row>
    <row r="20" spans="1:8" x14ac:dyDescent="0.25">
      <c r="A20" s="22"/>
      <c r="B20" s="22"/>
      <c r="C20" s="22"/>
      <c r="D20" s="22"/>
      <c r="E20" s="22"/>
      <c r="F20" s="22"/>
      <c r="G20" s="22"/>
      <c r="H20" s="22"/>
    </row>
    <row r="21" spans="1:8" x14ac:dyDescent="0.25">
      <c r="A21" s="22"/>
      <c r="B21" s="22"/>
      <c r="C21" s="22"/>
      <c r="D21" s="22"/>
      <c r="E21" s="22"/>
      <c r="F21" s="22"/>
      <c r="G21" s="22"/>
      <c r="H21" s="22"/>
    </row>
    <row r="22" spans="1:8" x14ac:dyDescent="0.25">
      <c r="A22" s="22"/>
      <c r="B22" s="22"/>
      <c r="C22" s="22"/>
      <c r="D22" s="22"/>
      <c r="E22" s="22"/>
      <c r="F22" s="22"/>
      <c r="G22" s="22"/>
      <c r="H22" s="22"/>
    </row>
    <row r="23" spans="1:8" x14ac:dyDescent="0.25">
      <c r="A23" s="22"/>
      <c r="B23" s="22"/>
      <c r="C23" s="22"/>
      <c r="D23" s="22"/>
      <c r="E23" s="22"/>
      <c r="F23" s="22"/>
      <c r="G23" s="22"/>
      <c r="H23" s="22"/>
    </row>
    <row r="24" spans="1:8" x14ac:dyDescent="0.25">
      <c r="A24" s="22"/>
      <c r="B24" s="22"/>
      <c r="C24" s="22"/>
      <c r="D24" s="22"/>
      <c r="E24" s="22"/>
      <c r="F24" s="22"/>
      <c r="G24" s="22"/>
      <c r="H24" s="22"/>
    </row>
    <row r="25" spans="1:8" x14ac:dyDescent="0.25">
      <c r="A25" s="22"/>
      <c r="B25" s="22"/>
      <c r="C25" s="22"/>
      <c r="D25" s="22"/>
      <c r="E25" s="22"/>
      <c r="F25" s="22"/>
      <c r="G25" s="22"/>
      <c r="H25" s="22"/>
    </row>
    <row r="26" spans="1:8" ht="24.95" customHeight="1" x14ac:dyDescent="0.25">
      <c r="A26" s="22"/>
      <c r="B26" s="22"/>
      <c r="C26" s="22"/>
      <c r="D26" s="22"/>
      <c r="E26" s="22"/>
      <c r="F26" s="22"/>
      <c r="G26" s="22"/>
      <c r="H26" s="22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C1003-F89C-0E40-98C7-C3D471FC1994}">
  <dimension ref="A1:H26"/>
  <sheetViews>
    <sheetView zoomScale="110" zoomScaleNormal="110" workbookViewId="0">
      <selection activeCell="H19" sqref="H19"/>
    </sheetView>
  </sheetViews>
  <sheetFormatPr defaultColWidth="0" defaultRowHeight="15" zeroHeight="1" x14ac:dyDescent="0.25"/>
  <cols>
    <col min="1" max="8" width="10.7109375" customWidth="1"/>
    <col min="9" max="16384" width="9.140625" hidden="1"/>
  </cols>
  <sheetData>
    <row r="1" spans="1:8" s="33" customFormat="1" ht="6" customHeight="1" x14ac:dyDescent="0.25">
      <c r="A1" s="17"/>
      <c r="B1" s="17"/>
      <c r="C1" s="17"/>
      <c r="D1" s="17"/>
      <c r="E1" s="17"/>
      <c r="F1" s="17"/>
      <c r="G1" s="17"/>
      <c r="H1" s="17"/>
    </row>
    <row r="2" spans="1:8" ht="30" x14ac:dyDescent="0.65">
      <c r="A2" s="46" t="str">
        <f>data!A73</f>
        <v>Raised Blood Sugar</v>
      </c>
      <c r="B2" s="17"/>
      <c r="C2" s="17"/>
      <c r="D2" s="17"/>
      <c r="E2" s="17"/>
      <c r="F2" s="17"/>
      <c r="G2" s="17"/>
      <c r="H2" s="17"/>
    </row>
    <row r="3" spans="1:8" x14ac:dyDescent="0.25">
      <c r="A3" s="17"/>
      <c r="B3" s="17"/>
      <c r="C3" s="17"/>
      <c r="D3" s="17"/>
      <c r="E3" s="17"/>
      <c r="F3" s="17"/>
      <c r="G3" s="17"/>
      <c r="H3" s="17"/>
    </row>
    <row r="4" spans="1:8" x14ac:dyDescent="0.25">
      <c r="A4" s="17"/>
      <c r="B4" s="17"/>
      <c r="C4" s="17"/>
      <c r="D4" s="17"/>
      <c r="E4" s="17"/>
      <c r="F4" s="17"/>
      <c r="G4" s="17"/>
      <c r="H4" s="17"/>
    </row>
    <row r="5" spans="1:8" x14ac:dyDescent="0.25">
      <c r="A5" s="17"/>
      <c r="B5" s="17"/>
      <c r="C5" s="17"/>
      <c r="D5" s="17"/>
      <c r="E5" s="17"/>
      <c r="F5" s="17"/>
      <c r="G5" s="17"/>
      <c r="H5" s="17"/>
    </row>
    <row r="6" spans="1:8" x14ac:dyDescent="0.25">
      <c r="A6" s="17"/>
      <c r="B6" s="17"/>
      <c r="C6" s="17"/>
      <c r="D6" s="17"/>
      <c r="E6" s="17"/>
      <c r="F6" s="17"/>
      <c r="G6" s="17"/>
      <c r="H6" s="17"/>
    </row>
    <row r="7" spans="1:8" x14ac:dyDescent="0.25">
      <c r="A7" s="17"/>
      <c r="B7" s="17"/>
      <c r="C7" s="17"/>
      <c r="D7" s="17"/>
      <c r="E7" s="17"/>
      <c r="F7" s="17"/>
      <c r="G7" s="17"/>
      <c r="H7" s="17"/>
    </row>
    <row r="8" spans="1:8" x14ac:dyDescent="0.25">
      <c r="A8" s="17"/>
      <c r="B8" s="17"/>
      <c r="C8" s="17"/>
      <c r="D8" s="17"/>
      <c r="E8" s="17"/>
      <c r="F8" s="17"/>
      <c r="G8" s="17"/>
      <c r="H8" s="17"/>
    </row>
    <row r="9" spans="1:8" x14ac:dyDescent="0.25">
      <c r="A9" s="17"/>
      <c r="B9" s="17"/>
      <c r="C9" s="17"/>
      <c r="D9" s="17"/>
      <c r="E9" s="17"/>
      <c r="F9" s="17"/>
      <c r="G9" s="17"/>
      <c r="H9" s="17"/>
    </row>
    <row r="10" spans="1:8" x14ac:dyDescent="0.25">
      <c r="A10" s="17"/>
      <c r="B10" s="17"/>
      <c r="C10" s="17"/>
      <c r="D10" s="17"/>
      <c r="E10" s="17"/>
      <c r="F10" s="17"/>
      <c r="G10" s="17"/>
      <c r="H10" s="17"/>
    </row>
    <row r="11" spans="1:8" x14ac:dyDescent="0.25">
      <c r="A11" s="17"/>
      <c r="B11" s="17"/>
      <c r="C11" s="17"/>
      <c r="D11" s="17"/>
      <c r="E11" s="17"/>
      <c r="F11" s="17"/>
      <c r="G11" s="17"/>
      <c r="H11" s="17"/>
    </row>
    <row r="12" spans="1:8" x14ac:dyDescent="0.25">
      <c r="A12" s="17"/>
      <c r="B12" s="17"/>
      <c r="C12" s="17"/>
      <c r="D12" s="17"/>
      <c r="E12" s="17"/>
      <c r="F12" s="17"/>
      <c r="G12" s="17"/>
      <c r="H12" s="17"/>
    </row>
    <row r="13" spans="1:8" x14ac:dyDescent="0.25">
      <c r="A13" s="17"/>
      <c r="B13" s="17"/>
      <c r="C13" s="17"/>
      <c r="D13" s="17"/>
      <c r="E13" s="17"/>
      <c r="F13" s="17"/>
      <c r="G13" s="17"/>
      <c r="H13" s="17"/>
    </row>
    <row r="14" spans="1:8" x14ac:dyDescent="0.25">
      <c r="A14" s="17"/>
      <c r="B14" s="17"/>
      <c r="C14" s="17"/>
      <c r="D14" s="17"/>
      <c r="E14" s="17"/>
      <c r="F14" s="17"/>
      <c r="G14" s="17"/>
      <c r="H14" s="17"/>
    </row>
    <row r="15" spans="1:8" x14ac:dyDescent="0.25">
      <c r="A15" s="17"/>
      <c r="B15" s="17"/>
      <c r="C15" s="17"/>
      <c r="D15" s="17"/>
      <c r="E15" s="17"/>
      <c r="F15" s="17"/>
      <c r="G15" s="17"/>
      <c r="H15" s="17"/>
    </row>
    <row r="16" spans="1:8" x14ac:dyDescent="0.25">
      <c r="A16" s="17"/>
      <c r="B16" s="17"/>
      <c r="C16" s="17"/>
      <c r="D16" s="17"/>
      <c r="E16" s="17"/>
      <c r="F16" s="17"/>
      <c r="G16" s="17"/>
      <c r="H16" s="17"/>
    </row>
    <row r="17" spans="1:8" x14ac:dyDescent="0.25">
      <c r="A17" s="17"/>
      <c r="B17" s="17"/>
      <c r="C17" s="17"/>
      <c r="D17" s="17"/>
      <c r="E17" s="17"/>
      <c r="F17" s="17"/>
      <c r="G17" s="17"/>
      <c r="H17" s="17"/>
    </row>
    <row r="18" spans="1:8" x14ac:dyDescent="0.25">
      <c r="A18" s="17"/>
      <c r="B18" s="17"/>
      <c r="C18" s="17"/>
      <c r="D18" s="17"/>
      <c r="E18" s="17"/>
      <c r="F18" s="17"/>
      <c r="G18" s="17"/>
      <c r="H18" s="17"/>
    </row>
    <row r="19" spans="1:8" x14ac:dyDescent="0.25">
      <c r="A19" s="17"/>
      <c r="B19" s="17"/>
      <c r="C19" s="17"/>
      <c r="D19" s="17"/>
      <c r="E19" s="17"/>
      <c r="F19" s="17"/>
      <c r="G19" s="17"/>
      <c r="H19" s="17"/>
    </row>
    <row r="20" spans="1:8" x14ac:dyDescent="0.25">
      <c r="A20" s="17"/>
      <c r="B20" s="17"/>
      <c r="C20" s="17"/>
      <c r="D20" s="17"/>
      <c r="E20" s="17"/>
      <c r="F20" s="17"/>
      <c r="G20" s="17"/>
      <c r="H20" s="17"/>
    </row>
    <row r="21" spans="1:8" x14ac:dyDescent="0.25">
      <c r="A21" s="17"/>
      <c r="B21" s="17"/>
      <c r="C21" s="17"/>
      <c r="D21" s="17"/>
      <c r="E21" s="17"/>
      <c r="F21" s="17"/>
      <c r="G21" s="17"/>
      <c r="H21" s="17"/>
    </row>
    <row r="22" spans="1:8" x14ac:dyDescent="0.25">
      <c r="A22" s="17"/>
      <c r="B22" s="17"/>
      <c r="C22" s="17"/>
      <c r="D22" s="17"/>
      <c r="E22" s="17"/>
      <c r="F22" s="17"/>
      <c r="G22" s="17"/>
      <c r="H22" s="17"/>
    </row>
    <row r="23" spans="1:8" x14ac:dyDescent="0.25">
      <c r="A23" s="17"/>
      <c r="B23" s="17"/>
      <c r="C23" s="17"/>
      <c r="D23" s="17"/>
      <c r="E23" s="17"/>
      <c r="F23" s="17"/>
      <c r="G23" s="17"/>
      <c r="H23" s="17"/>
    </row>
    <row r="24" spans="1:8" x14ac:dyDescent="0.25">
      <c r="A24" s="17"/>
      <c r="B24" s="17"/>
      <c r="C24" s="17"/>
      <c r="D24" s="17"/>
      <c r="E24" s="17"/>
      <c r="F24" s="17"/>
      <c r="G24" s="17"/>
      <c r="H24" s="17"/>
    </row>
    <row r="25" spans="1:8" x14ac:dyDescent="0.25">
      <c r="A25" s="17"/>
      <c r="B25" s="17"/>
      <c r="C25" s="17"/>
      <c r="D25" s="17"/>
      <c r="E25" s="17"/>
      <c r="F25" s="17"/>
      <c r="G25" s="17"/>
      <c r="H25" s="17"/>
    </row>
    <row r="26" spans="1:8" ht="30" customHeight="1" x14ac:dyDescent="0.25">
      <c r="A26" s="17"/>
      <c r="B26" s="17"/>
      <c r="C26" s="17"/>
      <c r="D26" s="17"/>
      <c r="E26" s="17"/>
      <c r="F26" s="17"/>
      <c r="G26" s="17"/>
      <c r="H26" s="17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E5FF5-0B73-4D4E-B5D8-1A93F9B97626}">
  <dimension ref="A1:H14"/>
  <sheetViews>
    <sheetView zoomScale="115" zoomScaleNormal="115" workbookViewId="0">
      <selection activeCell="H14" sqref="H14"/>
    </sheetView>
  </sheetViews>
  <sheetFormatPr defaultColWidth="0" defaultRowHeight="15" zeroHeight="1" x14ac:dyDescent="0.25"/>
  <cols>
    <col min="1" max="8" width="10.7109375" customWidth="1"/>
    <col min="9" max="16384" width="9.140625" hidden="1"/>
  </cols>
  <sheetData>
    <row r="1" spans="1:8" ht="30" x14ac:dyDescent="0.65">
      <c r="A1" s="47" t="str">
        <f>data!A79</f>
        <v>Raised Total Cholesterol</v>
      </c>
      <c r="B1" s="21"/>
      <c r="C1" s="21"/>
      <c r="D1" s="21"/>
      <c r="E1" s="21"/>
      <c r="F1" s="21"/>
      <c r="G1" s="21"/>
      <c r="H1" s="21"/>
    </row>
    <row r="2" spans="1:8" x14ac:dyDescent="0.25">
      <c r="A2" s="21"/>
      <c r="B2" s="21"/>
      <c r="C2" s="21"/>
      <c r="D2" s="21"/>
      <c r="E2" s="21"/>
      <c r="F2" s="21"/>
      <c r="G2" s="21"/>
      <c r="H2" s="21"/>
    </row>
    <row r="3" spans="1:8" x14ac:dyDescent="0.25">
      <c r="A3" s="21"/>
      <c r="B3" s="21"/>
      <c r="C3" s="21"/>
      <c r="D3" s="21"/>
      <c r="E3" s="21"/>
      <c r="F3" s="21"/>
      <c r="G3" s="21"/>
      <c r="H3" s="21"/>
    </row>
    <row r="4" spans="1:8" x14ac:dyDescent="0.25">
      <c r="A4" s="21"/>
      <c r="B4" s="21"/>
      <c r="C4" s="21"/>
      <c r="D4" s="21"/>
      <c r="E4" s="21"/>
      <c r="F4" s="21"/>
      <c r="G4" s="21"/>
      <c r="H4" s="21"/>
    </row>
    <row r="5" spans="1:8" x14ac:dyDescent="0.25">
      <c r="A5" s="21"/>
      <c r="B5" s="21"/>
      <c r="C5" s="21"/>
      <c r="D5" s="21"/>
      <c r="E5" s="21"/>
      <c r="F5" s="21"/>
      <c r="G5" s="21"/>
      <c r="H5" s="21"/>
    </row>
    <row r="6" spans="1:8" x14ac:dyDescent="0.25">
      <c r="A6" s="21"/>
      <c r="B6" s="21"/>
      <c r="C6" s="21"/>
      <c r="D6" s="21"/>
      <c r="E6" s="21"/>
      <c r="F6" s="21"/>
      <c r="G6" s="21"/>
      <c r="H6" s="21"/>
    </row>
    <row r="7" spans="1:8" x14ac:dyDescent="0.25">
      <c r="A7" s="21"/>
      <c r="B7" s="21"/>
      <c r="C7" s="21"/>
      <c r="D7" s="21"/>
      <c r="E7" s="21"/>
      <c r="F7" s="21"/>
      <c r="G7" s="21"/>
      <c r="H7" s="21"/>
    </row>
    <row r="8" spans="1:8" x14ac:dyDescent="0.25">
      <c r="A8" s="21"/>
      <c r="B8" s="21"/>
      <c r="C8" s="21"/>
      <c r="D8" s="21"/>
      <c r="E8" s="21"/>
      <c r="F8" s="21"/>
      <c r="G8" s="21"/>
      <c r="H8" s="21"/>
    </row>
    <row r="9" spans="1:8" x14ac:dyDescent="0.25">
      <c r="A9" s="21"/>
      <c r="B9" s="21"/>
      <c r="C9" s="21"/>
      <c r="D9" s="21"/>
      <c r="E9" s="21"/>
      <c r="F9" s="21"/>
      <c r="G9" s="21"/>
      <c r="H9" s="21"/>
    </row>
    <row r="10" spans="1:8" x14ac:dyDescent="0.25">
      <c r="A10" s="21"/>
      <c r="B10" s="21"/>
      <c r="C10" s="21"/>
      <c r="D10" s="21"/>
      <c r="E10" s="21"/>
      <c r="F10" s="21"/>
      <c r="G10" s="21"/>
      <c r="H10" s="21"/>
    </row>
    <row r="11" spans="1:8" x14ac:dyDescent="0.25">
      <c r="A11" s="21"/>
      <c r="B11" s="21"/>
      <c r="C11" s="21"/>
      <c r="D11" s="21"/>
      <c r="E11" s="21"/>
      <c r="F11" s="21"/>
      <c r="G11" s="21"/>
      <c r="H11" s="21"/>
    </row>
    <row r="12" spans="1:8" x14ac:dyDescent="0.25">
      <c r="A12" s="21"/>
      <c r="B12" s="21"/>
      <c r="C12" s="21"/>
      <c r="D12" s="21"/>
      <c r="E12" s="21"/>
      <c r="F12" s="21"/>
      <c r="G12" s="21"/>
      <c r="H12" s="21"/>
    </row>
    <row r="13" spans="1:8" x14ac:dyDescent="0.25">
      <c r="A13" s="21"/>
      <c r="B13" s="21"/>
      <c r="C13" s="21"/>
      <c r="D13" s="21"/>
      <c r="E13" s="21"/>
      <c r="F13" s="21"/>
      <c r="G13" s="21"/>
      <c r="H13" s="21"/>
    </row>
    <row r="14" spans="1:8" ht="39" customHeight="1" x14ac:dyDescent="0.25">
      <c r="A14" s="21"/>
      <c r="B14" s="21"/>
      <c r="C14" s="21"/>
      <c r="D14" s="21"/>
      <c r="E14" s="21"/>
      <c r="F14" s="21"/>
      <c r="G14" s="21"/>
      <c r="H14" s="21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A91E1-250D-004C-9895-F085028D62C0}">
  <dimension ref="A1:H32"/>
  <sheetViews>
    <sheetView zoomScale="130" zoomScaleNormal="130" workbookViewId="0">
      <selection activeCell="A13" sqref="A13"/>
    </sheetView>
  </sheetViews>
  <sheetFormatPr defaultColWidth="0" defaultRowHeight="19.5" zeroHeight="1" x14ac:dyDescent="0.45"/>
  <cols>
    <col min="1" max="7" width="10.7109375" style="41" customWidth="1"/>
    <col min="8" max="8" width="3.28515625" style="41" customWidth="1"/>
    <col min="9" max="16384" width="9.140625" style="41" hidden="1"/>
  </cols>
  <sheetData>
    <row r="1" spans="1:8" ht="11.25" customHeight="1" x14ac:dyDescent="0.45">
      <c r="A1" s="51"/>
      <c r="B1" s="51"/>
      <c r="C1" s="51"/>
      <c r="D1" s="51"/>
      <c r="E1" s="51"/>
      <c r="F1" s="51"/>
      <c r="G1" s="51"/>
      <c r="H1" s="51"/>
    </row>
    <row r="2" spans="1:8" ht="30" x14ac:dyDescent="0.65">
      <c r="A2" s="38" t="str">
        <f>data!A87</f>
        <v>Cardiovascular Disease</v>
      </c>
      <c r="B2" s="51"/>
      <c r="C2" s="51"/>
      <c r="D2" s="51"/>
      <c r="E2" s="51"/>
      <c r="F2" s="51"/>
      <c r="G2" s="51"/>
      <c r="H2" s="51"/>
    </row>
    <row r="3" spans="1:8" x14ac:dyDescent="0.45">
      <c r="A3" s="51"/>
      <c r="B3" s="51"/>
      <c r="C3" s="51"/>
      <c r="D3" s="51"/>
      <c r="E3" s="51"/>
      <c r="F3" s="51"/>
      <c r="G3" s="51"/>
      <c r="H3" s="51"/>
    </row>
    <row r="4" spans="1:8" x14ac:dyDescent="0.45">
      <c r="A4" s="51"/>
      <c r="B4" s="51"/>
      <c r="C4" s="51"/>
      <c r="D4" s="51"/>
      <c r="E4" s="51"/>
      <c r="F4" s="51"/>
      <c r="G4" s="51"/>
      <c r="H4" s="51"/>
    </row>
    <row r="5" spans="1:8" x14ac:dyDescent="0.45">
      <c r="A5" s="51"/>
      <c r="B5" s="51"/>
      <c r="C5" s="51"/>
      <c r="D5" s="51"/>
      <c r="E5" s="51"/>
      <c r="F5" s="51"/>
      <c r="G5" s="51"/>
      <c r="H5" s="51"/>
    </row>
    <row r="6" spans="1:8" x14ac:dyDescent="0.45">
      <c r="A6" s="51"/>
      <c r="B6" s="51"/>
      <c r="C6" s="51"/>
      <c r="D6" s="51"/>
      <c r="E6" s="51"/>
      <c r="F6" s="51"/>
      <c r="G6" s="51"/>
      <c r="H6" s="51"/>
    </row>
    <row r="7" spans="1:8" x14ac:dyDescent="0.45">
      <c r="A7" s="51"/>
      <c r="B7" s="51"/>
      <c r="C7" s="51"/>
      <c r="D7" s="51"/>
      <c r="E7" s="51"/>
      <c r="F7" s="51"/>
      <c r="G7" s="51"/>
      <c r="H7" s="51"/>
    </row>
    <row r="8" spans="1:8" x14ac:dyDescent="0.45">
      <c r="A8" s="51"/>
      <c r="B8" s="51"/>
      <c r="C8" s="51"/>
      <c r="D8" s="51"/>
      <c r="E8" s="51"/>
      <c r="F8" s="51"/>
      <c r="G8" s="51"/>
      <c r="H8" s="51"/>
    </row>
    <row r="9" spans="1:8" x14ac:dyDescent="0.45">
      <c r="A9" s="51"/>
      <c r="B9" s="51"/>
      <c r="C9" s="51"/>
      <c r="D9" s="51"/>
      <c r="E9" s="51"/>
      <c r="F9" s="51"/>
      <c r="G9" s="51"/>
      <c r="H9" s="51"/>
    </row>
    <row r="10" spans="1:8" x14ac:dyDescent="0.45">
      <c r="A10" s="51"/>
      <c r="B10" s="51"/>
      <c r="C10" s="51"/>
      <c r="D10" s="51"/>
      <c r="E10" s="51"/>
      <c r="F10" s="51"/>
      <c r="G10" s="51"/>
      <c r="H10" s="51"/>
    </row>
    <row r="11" spans="1:8" x14ac:dyDescent="0.45">
      <c r="A11" s="51"/>
      <c r="B11" s="51"/>
      <c r="C11" s="51"/>
      <c r="D11" s="51"/>
      <c r="E11" s="51"/>
      <c r="F11" s="51"/>
      <c r="G11" s="51"/>
      <c r="H11" s="51"/>
    </row>
    <row r="12" spans="1:8" x14ac:dyDescent="0.45">
      <c r="A12" s="51"/>
      <c r="B12" s="51"/>
      <c r="C12" s="51"/>
      <c r="D12" s="51"/>
      <c r="E12" s="51"/>
      <c r="F12" s="51"/>
      <c r="G12" s="51"/>
      <c r="H12" s="51"/>
    </row>
    <row r="13" spans="1:8" x14ac:dyDescent="0.45">
      <c r="A13" s="51"/>
      <c r="B13" s="51"/>
      <c r="C13" s="51"/>
      <c r="D13" s="51"/>
      <c r="E13" s="51"/>
      <c r="F13" s="51"/>
      <c r="G13" s="51"/>
      <c r="H13" s="51"/>
    </row>
    <row r="17" s="41" customFormat="1" hidden="1" x14ac:dyDescent="0.45"/>
    <row r="18" s="41" customFormat="1" hidden="1" x14ac:dyDescent="0.45"/>
    <row r="19" s="41" customFormat="1" hidden="1" x14ac:dyDescent="0.45"/>
    <row r="20" s="41" customFormat="1" hidden="1" x14ac:dyDescent="0.45"/>
    <row r="21" s="41" customFormat="1" hidden="1" x14ac:dyDescent="0.45"/>
    <row r="22" s="41" customFormat="1" hidden="1" x14ac:dyDescent="0.45"/>
    <row r="23" s="41" customFormat="1" hidden="1" x14ac:dyDescent="0.45"/>
    <row r="24" s="41" customFormat="1" hidden="1" x14ac:dyDescent="0.45"/>
    <row r="25" s="41" customFormat="1" hidden="1" x14ac:dyDescent="0.45"/>
    <row r="26" s="41" customFormat="1" hidden="1" x14ac:dyDescent="0.45"/>
    <row r="27" s="41" customFormat="1" hidden="1" x14ac:dyDescent="0.45"/>
    <row r="28" s="41" customFormat="1" hidden="1" x14ac:dyDescent="0.45"/>
    <row r="29" s="41" customFormat="1" hidden="1" x14ac:dyDescent="0.45"/>
    <row r="30" s="41" customFormat="1" hidden="1" x14ac:dyDescent="0.45"/>
    <row r="31" s="41" customFormat="1" hidden="1" x14ac:dyDescent="0.45"/>
    <row r="32" s="41" customFormat="1" hidden="1" x14ac:dyDescent="0.45"/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57B0B-A421-F442-8047-110306F80BF4}">
  <dimension ref="A1:I41"/>
  <sheetViews>
    <sheetView topLeftCell="A20" zoomScale="115" zoomScaleNormal="115" workbookViewId="0">
      <selection activeCell="I41" sqref="I41"/>
    </sheetView>
  </sheetViews>
  <sheetFormatPr defaultColWidth="0" defaultRowHeight="19.5" zeroHeight="1" x14ac:dyDescent="0.45"/>
  <cols>
    <col min="1" max="1" width="3.140625" style="52" customWidth="1"/>
    <col min="2" max="6" width="10.7109375" style="52" customWidth="1"/>
    <col min="7" max="7" width="10.85546875" style="52" customWidth="1"/>
    <col min="8" max="8" width="10.7109375" style="52" customWidth="1"/>
    <col min="9" max="9" width="3.85546875" style="52" customWidth="1"/>
    <col min="10" max="16384" width="10.7109375" style="52" hidden="1"/>
  </cols>
  <sheetData>
    <row r="1" spans="2:2" ht="12" customHeight="1" x14ac:dyDescent="0.45"/>
    <row r="2" spans="2:2" ht="30" x14ac:dyDescent="0.65">
      <c r="B2" s="53" t="str">
        <f>data!A92</f>
        <v>Lifestyle Advice*</v>
      </c>
    </row>
    <row r="3" spans="2:2" ht="30" x14ac:dyDescent="0.65">
      <c r="B3" s="53"/>
    </row>
    <row r="4" spans="2:2" x14ac:dyDescent="0.45"/>
    <row r="5" spans="2:2" x14ac:dyDescent="0.45"/>
    <row r="6" spans="2:2" x14ac:dyDescent="0.45"/>
    <row r="7" spans="2:2" x14ac:dyDescent="0.45"/>
    <row r="8" spans="2:2" x14ac:dyDescent="0.45"/>
    <row r="9" spans="2:2" x14ac:dyDescent="0.45"/>
    <row r="10" spans="2:2" ht="32.25" customHeight="1" x14ac:dyDescent="0.45"/>
    <row r="11" spans="2:2" x14ac:dyDescent="0.45"/>
    <row r="12" spans="2:2" x14ac:dyDescent="0.45"/>
    <row r="13" spans="2:2" x14ac:dyDescent="0.45"/>
    <row r="14" spans="2:2" x14ac:dyDescent="0.45"/>
    <row r="15" spans="2:2" x14ac:dyDescent="0.45"/>
    <row r="16" spans="2:2" x14ac:dyDescent="0.45"/>
    <row r="17" x14ac:dyDescent="0.45"/>
    <row r="18" x14ac:dyDescent="0.45"/>
    <row r="19" x14ac:dyDescent="0.45"/>
    <row r="20" x14ac:dyDescent="0.45"/>
    <row r="21" x14ac:dyDescent="0.45"/>
    <row r="22" x14ac:dyDescent="0.45"/>
    <row r="23" x14ac:dyDescent="0.45"/>
    <row r="24" x14ac:dyDescent="0.45"/>
    <row r="25" x14ac:dyDescent="0.45"/>
    <row r="26" x14ac:dyDescent="0.45"/>
    <row r="27" x14ac:dyDescent="0.45"/>
    <row r="28" x14ac:dyDescent="0.45"/>
    <row r="29" x14ac:dyDescent="0.45"/>
    <row r="30" x14ac:dyDescent="0.45"/>
    <row r="31" x14ac:dyDescent="0.45"/>
    <row r="32" x14ac:dyDescent="0.45"/>
    <row r="33" x14ac:dyDescent="0.45"/>
    <row r="34" x14ac:dyDescent="0.45"/>
    <row r="35" x14ac:dyDescent="0.45"/>
    <row r="36" x14ac:dyDescent="0.45"/>
    <row r="37" x14ac:dyDescent="0.45"/>
    <row r="38" x14ac:dyDescent="0.45"/>
    <row r="39" x14ac:dyDescent="0.45"/>
    <row r="40" x14ac:dyDescent="0.45"/>
    <row r="41" x14ac:dyDescent="0.45"/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22EE3-B114-3F44-8A3F-D29DAD9502DC}">
  <dimension ref="A1:I24"/>
  <sheetViews>
    <sheetView tabSelected="1" zoomScale="110" zoomScaleNormal="110" workbookViewId="0">
      <selection activeCell="I10" sqref="I10"/>
    </sheetView>
  </sheetViews>
  <sheetFormatPr defaultColWidth="0" defaultRowHeight="19.5" zeroHeight="1" x14ac:dyDescent="0.45"/>
  <cols>
    <col min="1" max="1" width="2.5703125" style="41" customWidth="1"/>
    <col min="2" max="2" width="2.85546875" style="41" customWidth="1"/>
    <col min="3" max="8" width="10.7109375" style="41" customWidth="1"/>
    <col min="9" max="9" width="2.42578125" style="41" customWidth="1"/>
    <col min="10" max="16384" width="10.7109375" style="41" hidden="1"/>
  </cols>
  <sheetData>
    <row r="1" spans="1:9" ht="30" x14ac:dyDescent="0.65">
      <c r="A1" s="49"/>
      <c r="B1" s="46" t="str">
        <f>data!A102</f>
        <v>Multiple Risk Factors</v>
      </c>
      <c r="C1" s="49"/>
      <c r="D1" s="49"/>
      <c r="E1" s="49"/>
      <c r="F1" s="49"/>
      <c r="G1" s="49"/>
      <c r="H1" s="49"/>
      <c r="I1" s="49"/>
    </row>
    <row r="2" spans="1:9" x14ac:dyDescent="0.45">
      <c r="A2" s="49"/>
      <c r="B2" s="49"/>
      <c r="C2" s="49"/>
      <c r="D2" s="49"/>
      <c r="E2" s="49"/>
      <c r="F2" s="49"/>
      <c r="G2" s="49"/>
      <c r="H2" s="49"/>
      <c r="I2" s="49"/>
    </row>
    <row r="3" spans="1:9" x14ac:dyDescent="0.45">
      <c r="A3" s="49"/>
      <c r="B3" s="49"/>
      <c r="C3" s="49"/>
      <c r="D3" s="49"/>
      <c r="E3" s="49"/>
      <c r="F3" s="49"/>
      <c r="G3" s="49"/>
      <c r="H3" s="49"/>
      <c r="I3" s="49"/>
    </row>
    <row r="4" spans="1:9" x14ac:dyDescent="0.45">
      <c r="A4" s="49"/>
      <c r="B4" s="49"/>
      <c r="C4" s="49"/>
      <c r="D4" s="49"/>
      <c r="E4" s="49"/>
      <c r="F4" s="49"/>
      <c r="G4" s="49"/>
      <c r="H4" s="49"/>
      <c r="I4" s="49"/>
    </row>
    <row r="5" spans="1:9" x14ac:dyDescent="0.45">
      <c r="A5" s="49"/>
      <c r="B5" s="49"/>
      <c r="C5" s="49"/>
      <c r="D5" s="49"/>
      <c r="E5" s="49"/>
      <c r="F5" s="49"/>
      <c r="G5" s="49"/>
      <c r="H5" s="49"/>
      <c r="I5" s="49"/>
    </row>
    <row r="6" spans="1:9" x14ac:dyDescent="0.45">
      <c r="A6" s="49"/>
      <c r="B6" s="49"/>
      <c r="C6" s="49"/>
      <c r="D6" s="49"/>
      <c r="E6" s="49"/>
      <c r="F6" s="49"/>
      <c r="G6" s="49"/>
      <c r="H6" s="49"/>
      <c r="I6" s="49"/>
    </row>
    <row r="7" spans="1:9" x14ac:dyDescent="0.45">
      <c r="A7" s="49"/>
      <c r="B7" s="49"/>
      <c r="C7" s="49"/>
      <c r="D7" s="49"/>
      <c r="E7" s="49"/>
      <c r="F7" s="49"/>
      <c r="G7" s="49"/>
      <c r="H7" s="49"/>
      <c r="I7" s="49"/>
    </row>
    <row r="8" spans="1:9" x14ac:dyDescent="0.45">
      <c r="A8" s="49"/>
      <c r="B8" s="49"/>
      <c r="C8" s="49"/>
      <c r="D8" s="49"/>
      <c r="E8" s="49"/>
      <c r="F8" s="49"/>
      <c r="G8" s="49"/>
      <c r="H8" s="49"/>
      <c r="I8" s="49"/>
    </row>
    <row r="9" spans="1:9" x14ac:dyDescent="0.45">
      <c r="A9" s="49"/>
      <c r="B9" s="49"/>
      <c r="C9" s="49"/>
      <c r="D9" s="49"/>
      <c r="E9" s="49"/>
      <c r="F9" s="49"/>
      <c r="G9" s="49"/>
      <c r="H9" s="49"/>
      <c r="I9" s="49"/>
    </row>
    <row r="10" spans="1:9" x14ac:dyDescent="0.45">
      <c r="A10" s="49"/>
      <c r="B10" s="49"/>
      <c r="C10" s="49"/>
      <c r="D10" s="49"/>
      <c r="E10" s="49"/>
      <c r="F10" s="49"/>
      <c r="G10" s="49"/>
      <c r="H10" s="49"/>
      <c r="I10" s="49"/>
    </row>
    <row r="11" spans="1:9" x14ac:dyDescent="0.45">
      <c r="A11" s="49"/>
      <c r="B11" s="49"/>
      <c r="C11" s="49"/>
      <c r="D11" s="49"/>
      <c r="E11" s="49"/>
      <c r="F11" s="49"/>
      <c r="G11" s="49"/>
      <c r="H11" s="49"/>
      <c r="I11" s="49"/>
    </row>
    <row r="12" spans="1:9" x14ac:dyDescent="0.45">
      <c r="A12" s="49"/>
      <c r="B12" s="49"/>
      <c r="C12" s="49"/>
      <c r="D12" s="49"/>
      <c r="E12" s="49"/>
      <c r="F12" s="49"/>
      <c r="G12" s="49"/>
      <c r="H12" s="49"/>
      <c r="I12" s="49"/>
    </row>
    <row r="13" spans="1:9" x14ac:dyDescent="0.45">
      <c r="A13" s="49"/>
      <c r="B13" s="49"/>
      <c r="C13" s="49"/>
      <c r="D13" s="49"/>
      <c r="E13" s="49"/>
      <c r="F13" s="49"/>
      <c r="G13" s="49"/>
      <c r="H13" s="49"/>
      <c r="I13" s="49"/>
    </row>
    <row r="14" spans="1:9" x14ac:dyDescent="0.45">
      <c r="A14" s="49"/>
      <c r="B14" s="49"/>
      <c r="C14" s="49"/>
      <c r="D14" s="49"/>
      <c r="E14" s="49"/>
      <c r="F14" s="49"/>
      <c r="G14" s="49"/>
      <c r="H14" s="49"/>
      <c r="I14" s="49"/>
    </row>
    <row r="15" spans="1:9" x14ac:dyDescent="0.45">
      <c r="A15" s="49"/>
      <c r="B15" s="49"/>
      <c r="C15" s="49"/>
      <c r="D15" s="49"/>
      <c r="E15" s="49"/>
      <c r="F15" s="49"/>
      <c r="G15" s="49"/>
      <c r="H15" s="49"/>
      <c r="I15" s="49"/>
    </row>
    <row r="16" spans="1:9" x14ac:dyDescent="0.45">
      <c r="A16" s="49"/>
      <c r="B16" s="49"/>
      <c r="C16" s="49"/>
      <c r="D16" s="49"/>
      <c r="E16" s="49"/>
      <c r="F16" s="49"/>
      <c r="G16" s="49"/>
      <c r="H16" s="49"/>
      <c r="I16" s="49"/>
    </row>
    <row r="17" spans="1:9" x14ac:dyDescent="0.45">
      <c r="A17" s="49"/>
      <c r="B17" s="49"/>
      <c r="C17" s="49"/>
      <c r="D17" s="49"/>
      <c r="E17" s="49"/>
      <c r="F17" s="49"/>
      <c r="G17" s="49"/>
      <c r="H17" s="49"/>
      <c r="I17" s="49"/>
    </row>
    <row r="18" spans="1:9" x14ac:dyDescent="0.45">
      <c r="A18" s="49"/>
      <c r="B18" s="49"/>
      <c r="C18" s="49"/>
      <c r="D18" s="49"/>
      <c r="E18" s="49"/>
      <c r="F18" s="49"/>
      <c r="G18" s="49"/>
      <c r="H18" s="49"/>
      <c r="I18" s="49"/>
    </row>
    <row r="19" spans="1:9" x14ac:dyDescent="0.45">
      <c r="A19" s="49"/>
      <c r="B19" s="49"/>
      <c r="C19" s="49"/>
      <c r="D19" s="49"/>
      <c r="E19" s="49"/>
      <c r="F19" s="49"/>
      <c r="G19" s="49"/>
      <c r="H19" s="49"/>
      <c r="I19" s="49"/>
    </row>
    <row r="20" spans="1:9" x14ac:dyDescent="0.45">
      <c r="A20" s="49"/>
      <c r="B20" s="49"/>
      <c r="C20" s="49"/>
      <c r="D20" s="49"/>
      <c r="E20" s="49"/>
      <c r="F20" s="49"/>
      <c r="G20" s="49"/>
      <c r="H20" s="49"/>
      <c r="I20" s="49"/>
    </row>
    <row r="21" spans="1:9" x14ac:dyDescent="0.45">
      <c r="A21" s="49"/>
      <c r="B21" s="49"/>
      <c r="C21" s="49"/>
      <c r="D21" s="49"/>
      <c r="E21" s="49"/>
      <c r="F21" s="49"/>
      <c r="G21" s="49"/>
      <c r="H21" s="49"/>
      <c r="I21" s="49"/>
    </row>
    <row r="22" spans="1:9" x14ac:dyDescent="0.45">
      <c r="A22" s="49"/>
      <c r="B22" s="49"/>
      <c r="C22" s="49"/>
      <c r="D22" s="49"/>
      <c r="E22" s="49"/>
      <c r="F22" s="49"/>
      <c r="G22" s="49"/>
      <c r="H22" s="49"/>
      <c r="I22" s="49"/>
    </row>
    <row r="23" spans="1:9" x14ac:dyDescent="0.45">
      <c r="A23" s="49"/>
      <c r="B23" s="49"/>
      <c r="C23" s="49"/>
      <c r="D23" s="49"/>
      <c r="E23" s="49"/>
      <c r="F23" s="49"/>
      <c r="G23" s="49"/>
      <c r="H23" s="49"/>
      <c r="I23" s="49"/>
    </row>
    <row r="24" spans="1:9" x14ac:dyDescent="0.45">
      <c r="A24" s="49"/>
      <c r="B24" s="49"/>
      <c r="C24" s="49"/>
      <c r="D24" s="49"/>
      <c r="E24" s="49"/>
      <c r="F24" s="49"/>
      <c r="G24" s="49"/>
      <c r="H24" s="49"/>
      <c r="I24" s="49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data</vt:lpstr>
      <vt:lpstr>Tobacco</vt:lpstr>
      <vt:lpstr>Alcohol Use</vt:lpstr>
      <vt:lpstr>Diet</vt:lpstr>
      <vt:lpstr>Physical Activity</vt:lpstr>
      <vt:lpstr>BMI</vt:lpstr>
      <vt:lpstr>Raised blood pressure</vt:lpstr>
      <vt:lpstr>Diabetes</vt:lpstr>
      <vt:lpstr>Raised cholesterol</vt:lpstr>
      <vt:lpstr>Cardiovascular disease</vt:lpstr>
      <vt:lpstr>Lifestyle advice</vt:lpstr>
      <vt:lpstr>Multiple risk factors</vt:lpstr>
      <vt:lpstr>Tobacco!Print_Area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SAVIN, Ştefan</dc:creator>
  <cp:keywords/>
  <dc:description/>
  <cp:lastModifiedBy>COWAN, Melanie</cp:lastModifiedBy>
  <cp:revision/>
  <cp:lastPrinted>2026-01-16T17:28:54Z</cp:lastPrinted>
  <dcterms:created xsi:type="dcterms:W3CDTF">2025-06-03T07:57:52Z</dcterms:created>
  <dcterms:modified xsi:type="dcterms:W3CDTF">2026-02-05T17:27:57Z</dcterms:modified>
  <cp:category/>
  <cp:contentStatus/>
</cp:coreProperties>
</file>